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ya\time-table\2025-26\odd\"/>
    </mc:Choice>
  </mc:AlternateContent>
  <xr:revisionPtr revIDLastSave="0" documentId="13_ncr:1_{B4EBCB01-BC26-440D-A219-171739539F6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SE-DS Workload" sheetId="1" r:id="rId1"/>
    <sheet name="3 batch workload" sheetId="5" r:id="rId2"/>
  </sheets>
  <definedNames>
    <definedName name="_xlnm.Print_Area" localSheetId="1">'3 batch workload'!$A$1:$AP$39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6EUBZ/IpsnRd8LgY+0Xs7H1y1P/V8T0w26eyOHOZSQ="/>
    </ext>
  </extLst>
</workbook>
</file>

<file path=xl/calcChain.xml><?xml version="1.0" encoding="utf-8"?>
<calcChain xmlns="http://schemas.openxmlformats.org/spreadsheetml/2006/main">
  <c r="E32" i="5" l="1"/>
  <c r="D32" i="5"/>
  <c r="C32" i="5"/>
  <c r="AG32" i="5"/>
  <c r="AF32" i="5"/>
  <c r="AP25" i="5"/>
  <c r="AP26" i="5"/>
  <c r="AP15" i="5"/>
  <c r="AP16" i="5"/>
  <c r="AP17" i="5"/>
  <c r="AP18" i="5"/>
  <c r="AP19" i="5"/>
  <c r="AP20" i="5"/>
  <c r="AP21" i="5"/>
  <c r="AP22" i="5"/>
  <c r="AP23" i="5"/>
  <c r="D25" i="1"/>
  <c r="C26" i="1" s="1"/>
  <c r="C28" i="1" s="1"/>
  <c r="G25" i="1"/>
  <c r="F26" i="1" s="1"/>
  <c r="F28" i="1" s="1"/>
  <c r="K9" i="1" s="1"/>
  <c r="K10" i="1" s="1"/>
  <c r="F25" i="1"/>
  <c r="C25" i="1"/>
  <c r="AP14" i="5"/>
  <c r="AP24" i="5"/>
  <c r="AP27" i="5"/>
  <c r="AP28" i="5"/>
  <c r="AP29" i="5"/>
  <c r="AP30" i="5"/>
  <c r="AP31" i="5"/>
  <c r="AP9" i="5"/>
  <c r="AP10" i="5"/>
  <c r="AP11" i="5"/>
  <c r="AP12" i="5"/>
  <c r="AP13" i="5"/>
  <c r="AF33" i="5" l="1"/>
  <c r="AP32" i="5"/>
  <c r="J9" i="1"/>
  <c r="J10" i="1" s="1"/>
  <c r="AA32" i="5"/>
  <c r="AB32" i="5"/>
  <c r="AC32" i="5"/>
  <c r="AD32" i="5"/>
  <c r="AE32" i="5"/>
  <c r="AH32" i="5"/>
  <c r="AI32" i="5"/>
  <c r="AJ32" i="5"/>
  <c r="AK32" i="5"/>
  <c r="AL32" i="5"/>
  <c r="AM32" i="5"/>
  <c r="AN32" i="5"/>
  <c r="AO32" i="5"/>
  <c r="Z32" i="5"/>
  <c r="X32" i="5"/>
  <c r="Y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AD33" i="5" l="1"/>
  <c r="AH33" i="5"/>
  <c r="AJ33" i="5"/>
  <c r="AB33" i="5"/>
  <c r="R33" i="5" l="1"/>
  <c r="AN33" i="5"/>
  <c r="AL33" i="5"/>
  <c r="J33" i="5"/>
  <c r="P33" i="5"/>
  <c r="T33" i="5"/>
  <c r="X33" i="5"/>
  <c r="F33" i="5"/>
  <c r="Z33" i="5"/>
  <c r="N33" i="5"/>
  <c r="V33" i="5"/>
  <c r="L33" i="5"/>
  <c r="H33" i="5"/>
</calcChain>
</file>

<file path=xl/sharedStrings.xml><?xml version="1.0" encoding="utf-8"?>
<sst xmlns="http://schemas.openxmlformats.org/spreadsheetml/2006/main" count="229" uniqueCount="116">
  <si>
    <t>Vidyavardhini's College of Engineering &amp; Technology</t>
  </si>
  <si>
    <t>Total Load</t>
  </si>
  <si>
    <t>Subject Load</t>
  </si>
  <si>
    <t>Lecture</t>
  </si>
  <si>
    <t>Practical</t>
  </si>
  <si>
    <t>Tutorial</t>
  </si>
  <si>
    <t>EM3</t>
  </si>
  <si>
    <t>-</t>
  </si>
  <si>
    <t>DSGT</t>
  </si>
  <si>
    <t>AI</t>
  </si>
  <si>
    <t>DWM</t>
  </si>
  <si>
    <t>WC&amp; NL</t>
  </si>
  <si>
    <t>BCE-II</t>
  </si>
  <si>
    <t>DL</t>
  </si>
  <si>
    <t>BDA</t>
  </si>
  <si>
    <t>DLOC-3</t>
  </si>
  <si>
    <t>DLOC-4</t>
  </si>
  <si>
    <t>ILOC-1</t>
  </si>
  <si>
    <t>Time-Table Incharge</t>
  </si>
  <si>
    <t xml:space="preserve">Department of Computer Science and Engineering (Data Science) </t>
  </si>
  <si>
    <t xml:space="preserve">        
       Teachers                    Subjects</t>
  </si>
  <si>
    <t>Mr. Yogesh Pingle</t>
  </si>
  <si>
    <t>Ms. Krunali Vartak</t>
  </si>
  <si>
    <t>Ms. Maya Varghese</t>
  </si>
  <si>
    <t>Ms. Janisa Pereira</t>
  </si>
  <si>
    <t>T</t>
  </si>
  <si>
    <t>P</t>
  </si>
  <si>
    <t>S.E. CSE (DS)</t>
  </si>
  <si>
    <t>T.E. CSE(DS)</t>
  </si>
  <si>
    <t xml:space="preserve">B.E. CSE(DS) </t>
  </si>
  <si>
    <t>TOTAL</t>
  </si>
  <si>
    <t>Ms.Maya Varghese</t>
  </si>
  <si>
    <t xml:space="preserve"> </t>
  </si>
  <si>
    <t>Dr. Vikas Gupta</t>
  </si>
  <si>
    <t>Deputy-HOD-CSE(DS)</t>
  </si>
  <si>
    <t>HOD(CSE(DS)</t>
  </si>
  <si>
    <t>Mrs. Leena Raut</t>
  </si>
  <si>
    <t>Ms. Odilia Gonsalves</t>
  </si>
  <si>
    <t>Mr. Ichhanshu Jaiswal</t>
  </si>
  <si>
    <t>Principal</t>
  </si>
  <si>
    <t>Maths</t>
  </si>
  <si>
    <t>Language</t>
  </si>
  <si>
    <t>Note:  $ combined load of CSE(DS) and AIDS departments</t>
  </si>
  <si>
    <t>Mrs. Kranti Gule</t>
  </si>
  <si>
    <t>Dr. Rakesh Himte</t>
  </si>
  <si>
    <t>Academic Year  2025-26 (Odd Semester)</t>
  </si>
  <si>
    <t>VIDYAVARDHINI’S COLLEGE OF ENGINEERING AND TECHNOLOGY</t>
  </si>
  <si>
    <t>DEPARTMENT OF COMPUTER SCIENCE and ENGINEERING(DATA SCIENCE)</t>
  </si>
  <si>
    <t>Academic Year 2025-26 Work Load (Odd and Even Semester)</t>
  </si>
  <si>
    <t>Class</t>
  </si>
  <si>
    <t>Subject</t>
  </si>
  <si>
    <t>Odd Semester</t>
  </si>
  <si>
    <t>Even Semester</t>
  </si>
  <si>
    <t xml:space="preserve"> Load Summary</t>
  </si>
  <si>
    <t>Lect</t>
  </si>
  <si>
    <t>Pract</t>
  </si>
  <si>
    <t>CT</t>
  </si>
  <si>
    <t>HOD</t>
  </si>
  <si>
    <t>S.E.</t>
  </si>
  <si>
    <t>AOA</t>
  </si>
  <si>
    <t>DBMS</t>
  </si>
  <si>
    <t>Professor</t>
  </si>
  <si>
    <t>COA</t>
  </si>
  <si>
    <t>OS</t>
  </si>
  <si>
    <t>Existing Faculty Load (12x18)</t>
  </si>
  <si>
    <t>OE</t>
  </si>
  <si>
    <t>MD(Minor Elec)</t>
  </si>
  <si>
    <t xml:space="preserve">Balance load </t>
  </si>
  <si>
    <t>Full stack with JAVA</t>
  </si>
  <si>
    <t>Adhoc/Contract faculty requirement</t>
  </si>
  <si>
    <t>ED</t>
  </si>
  <si>
    <t>BMD</t>
  </si>
  <si>
    <t>Existing no.of faculty</t>
  </si>
  <si>
    <t>EVS</t>
  </si>
  <si>
    <t>DT</t>
  </si>
  <si>
    <t>Note:</t>
  </si>
  <si>
    <t>T.E</t>
  </si>
  <si>
    <t xml:space="preserve">CN </t>
  </si>
  <si>
    <t>DA&amp;V</t>
  </si>
  <si>
    <t>Mini project load= 1Hr/faculty &amp;  Major Project Load= 1/Hr/faculty</t>
  </si>
  <si>
    <t xml:space="preserve">WC </t>
  </si>
  <si>
    <t xml:space="preserve">CSS </t>
  </si>
  <si>
    <t>2 courses offered under each DLOC</t>
  </si>
  <si>
    <t xml:space="preserve">SE&amp;PM </t>
  </si>
  <si>
    <t>* Two bathches of CC are combined</t>
  </si>
  <si>
    <t>ML</t>
  </si>
  <si>
    <t xml:space="preserve">$ Load shared with AI&amp;DS Department </t>
  </si>
  <si>
    <t>DLOC-1 $</t>
  </si>
  <si>
    <t>DLOC-2 $</t>
  </si>
  <si>
    <t>B.E.</t>
  </si>
  <si>
    <t>AAI</t>
  </si>
  <si>
    <t>DLOC 5</t>
  </si>
  <si>
    <t>DLOC-6</t>
  </si>
  <si>
    <t>ILOC-II</t>
  </si>
  <si>
    <t>Honors</t>
  </si>
  <si>
    <t>SEMESTER LOAD</t>
  </si>
  <si>
    <t>MINI/MAJOR PROJECT LOAD</t>
  </si>
  <si>
    <t>GRAND TOTAL</t>
  </si>
  <si>
    <t>Ms. Shital Cheke</t>
  </si>
  <si>
    <t>Ms. Bhavika Joshi</t>
  </si>
  <si>
    <t>Ms. Nishiganda Pagare</t>
  </si>
  <si>
    <t>DLOC-3 $</t>
  </si>
  <si>
    <t>DLOC-4 $</t>
  </si>
  <si>
    <t>Ms. Sayali Susvilkar</t>
  </si>
  <si>
    <t># Students practical batch reduced to 3 batches because of drop out</t>
  </si>
  <si>
    <t>SBLC-CC*</t>
  </si>
  <si>
    <t>Excluded: FE load Sem I = 6+18=24 (C-programming)    &amp;     Sem II= 6+18=24(PCC)</t>
  </si>
  <si>
    <t>Ms. Nivedha Raut</t>
  </si>
  <si>
    <t>DSE</t>
  </si>
  <si>
    <t>ED*</t>
  </si>
  <si>
    <t>EVS*</t>
  </si>
  <si>
    <t xml:space="preserve">                                                                   </t>
  </si>
  <si>
    <t>Ms.Anjali Pardeshi</t>
  </si>
  <si>
    <t>* 2 division of ED And EVS will be taken by Mechanical Department, 1 division of EVS by Civil department</t>
  </si>
  <si>
    <t>Ms. Yogita Shelar</t>
  </si>
  <si>
    <t>Ms. Shilpa Bane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</si>
</sst>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11"/>
      <color indexed="8"/>
      <name val="Calibri"/>
      <family val="2"/>
      <charset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333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11"/>
  </cellStyleXfs>
  <cellXfs count="117">
    <xf numFmtId="0" fontId="0" fillId="0" borderId="0" xfId="0"/>
    <xf numFmtId="0" fontId="1" fillId="0" borderId="0" xfId="0" applyFont="1"/>
    <xf numFmtId="0" fontId="1" fillId="0" borderId="6" xfId="0" applyFont="1" applyBorder="1"/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23" xfId="0" applyFont="1" applyBorder="1"/>
    <xf numFmtId="0" fontId="5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/>
    <xf numFmtId="0" fontId="4" fillId="0" borderId="26" xfId="0" applyFont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23" xfId="0" applyFont="1" applyBorder="1" applyAlignment="1">
      <alignment wrapText="1"/>
    </xf>
    <xf numFmtId="0" fontId="4" fillId="2" borderId="23" xfId="0" applyFont="1" applyFill="1" applyBorder="1" applyAlignment="1">
      <alignment vertical="center" wrapText="1"/>
    </xf>
    <xf numFmtId="2" fontId="4" fillId="2" borderId="23" xfId="0" applyNumberFormat="1" applyFont="1" applyFill="1" applyBorder="1" applyAlignment="1">
      <alignment horizontal="center" vertical="center"/>
    </xf>
    <xf numFmtId="0" fontId="4" fillId="2" borderId="23" xfId="0" applyFont="1" applyFill="1" applyBorder="1"/>
    <xf numFmtId="0" fontId="4" fillId="2" borderId="23" xfId="0" applyFont="1" applyFill="1" applyBorder="1" applyAlignment="1">
      <alignment horizontal="center"/>
    </xf>
    <xf numFmtId="0" fontId="5" fillId="0" borderId="0" xfId="0" applyFont="1"/>
    <xf numFmtId="0" fontId="2" fillId="0" borderId="6" xfId="0" applyFont="1" applyBorder="1" applyAlignment="1">
      <alignment horizontal="center"/>
    </xf>
    <xf numFmtId="0" fontId="2" fillId="0" borderId="21" xfId="0" applyFont="1" applyBorder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0" fontId="6" fillId="0" borderId="23" xfId="0" applyFont="1" applyBorder="1"/>
    <xf numFmtId="0" fontId="2" fillId="0" borderId="23" xfId="0" applyFont="1" applyBorder="1" applyAlignment="1">
      <alignment horizontal="center"/>
    </xf>
    <xf numFmtId="0" fontId="8" fillId="0" borderId="23" xfId="1" applyFont="1" applyBorder="1" applyAlignment="1">
      <alignment horizontal="left" vertical="center"/>
    </xf>
    <xf numFmtId="0" fontId="8" fillId="0" borderId="23" xfId="1" applyFont="1" applyBorder="1" applyAlignment="1">
      <alignment horizontal="center" vertical="center"/>
    </xf>
    <xf numFmtId="0" fontId="8" fillId="0" borderId="23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6" fillId="0" borderId="29" xfId="0" applyFont="1" applyBorder="1"/>
    <xf numFmtId="0" fontId="2" fillId="0" borderId="1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2" fillId="0" borderId="16" xfId="0" applyFont="1" applyBorder="1"/>
    <xf numFmtId="0" fontId="2" fillId="0" borderId="21" xfId="0" applyFont="1" applyBorder="1" applyAlignment="1">
      <alignment horizontal="center" vertical="center"/>
    </xf>
    <xf numFmtId="0" fontId="8" fillId="0" borderId="23" xfId="0" applyFont="1" applyBorder="1"/>
    <xf numFmtId="0" fontId="8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3" xfId="0" applyFont="1" applyBorder="1"/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wrapText="1"/>
    </xf>
    <xf numFmtId="0" fontId="2" fillId="0" borderId="22" xfId="0" applyFont="1" applyBorder="1" applyAlignment="1">
      <alignment horizontal="center"/>
    </xf>
    <xf numFmtId="0" fontId="2" fillId="0" borderId="3" xfId="0" applyFont="1" applyBorder="1"/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6" fillId="0" borderId="11" xfId="0" applyFont="1" applyBorder="1"/>
    <xf numFmtId="0" fontId="8" fillId="0" borderId="11" xfId="0" applyFont="1" applyBorder="1" applyAlignment="1">
      <alignment horizontal="center" vertical="center"/>
    </xf>
    <xf numFmtId="0" fontId="8" fillId="0" borderId="24" xfId="0" applyFont="1" applyBorder="1" applyAlignment="1">
      <alignment wrapText="1"/>
    </xf>
    <xf numFmtId="0" fontId="2" fillId="0" borderId="18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6" fillId="0" borderId="26" xfId="0" applyFont="1" applyBorder="1"/>
    <xf numFmtId="0" fontId="2" fillId="0" borderId="2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8" fillId="0" borderId="28" xfId="0" applyFont="1" applyBorder="1" applyAlignment="1">
      <alignment vertical="center"/>
    </xf>
    <xf numFmtId="0" fontId="5" fillId="0" borderId="23" xfId="0" applyFont="1" applyBorder="1" applyAlignment="1">
      <alignment horizont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2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24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6" fillId="0" borderId="9" xfId="0" applyFont="1" applyBorder="1"/>
    <xf numFmtId="0" fontId="6" fillId="0" borderId="4" xfId="0" applyFont="1" applyBorder="1"/>
    <xf numFmtId="0" fontId="6" fillId="0" borderId="5" xfId="0" applyFont="1" applyBorder="1"/>
    <xf numFmtId="0" fontId="1" fillId="0" borderId="3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2" xfId="0" applyFont="1" applyBorder="1"/>
    <xf numFmtId="0" fontId="2" fillId="0" borderId="8" xfId="0" applyFont="1" applyBorder="1" applyAlignment="1">
      <alignment horizontal="center" vertical="center"/>
    </xf>
    <xf numFmtId="0" fontId="6" fillId="0" borderId="7" xfId="0" applyFont="1" applyBorder="1"/>
    <xf numFmtId="0" fontId="1" fillId="0" borderId="12" xfId="0" applyFont="1" applyBorder="1" applyAlignment="1">
      <alignment horizontal="center" vertical="center" textRotation="90" shrinkToFit="1"/>
    </xf>
    <xf numFmtId="0" fontId="6" fillId="0" borderId="13" xfId="0" applyFont="1" applyBorder="1"/>
    <xf numFmtId="0" fontId="6" fillId="0" borderId="18" xfId="0" applyFont="1" applyBorder="1"/>
    <xf numFmtId="0" fontId="6" fillId="0" borderId="19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/>
    </xf>
    <xf numFmtId="0" fontId="6" fillId="0" borderId="15" xfId="0" applyFont="1" applyBorder="1"/>
    <xf numFmtId="0" fontId="6" fillId="0" borderId="16" xfId="0" applyFont="1" applyBorder="1"/>
    <xf numFmtId="0" fontId="1" fillId="0" borderId="17" xfId="0" applyFont="1" applyBorder="1" applyAlignment="1">
      <alignment horizontal="center" vertical="center" textRotation="90" shrinkToFit="1"/>
    </xf>
    <xf numFmtId="0" fontId="6" fillId="0" borderId="21" xfId="0" applyFont="1" applyBorder="1"/>
    <xf numFmtId="0" fontId="1" fillId="0" borderId="0" xfId="0" applyFont="1" applyAlignment="1">
      <alignment horizontal="left"/>
    </xf>
  </cellXfs>
  <cellStyles count="2">
    <cellStyle name="Excel Built-in Normal" xfId="1" xr:uid="{7CED2A6C-0429-4FC8-862D-8B3E85C09273}"/>
    <cellStyle name="Normal" xfId="0" builtinId="0"/>
  </cellStyles>
  <dxfs count="0"/>
  <tableStyles count="1" defaultTableStyle="TableStyleMedium2" defaultPivotStyle="PivotStyleLight16">
    <tableStyle name="Invisible" pivot="0" table="0" count="0" xr9:uid="{2790FDAF-955A-4B35-AC64-305E33C048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16044</xdr:colOff>
      <xdr:row>0</xdr:row>
      <xdr:rowOff>25400</xdr:rowOff>
    </xdr:from>
    <xdr:to>
      <xdr:col>2</xdr:col>
      <xdr:colOff>480498</xdr:colOff>
      <xdr:row>2</xdr:row>
      <xdr:rowOff>139237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0952A3-B983-4A5F-B706-5785DBE34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76544" y="25400"/>
          <a:ext cx="464454" cy="469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28"/>
  <sheetViews>
    <sheetView topLeftCell="A5" workbookViewId="0">
      <selection activeCell="C26" sqref="C26:D26"/>
    </sheetView>
  </sheetViews>
  <sheetFormatPr defaultRowHeight="14" x14ac:dyDescent="0.3"/>
  <cols>
    <col min="1" max="1" width="8.6640625" style="6"/>
    <col min="2" max="2" width="11.1640625" style="6" customWidth="1"/>
    <col min="3" max="4" width="8.6640625" style="6"/>
    <col min="5" max="5" width="13.1640625" style="6" customWidth="1"/>
    <col min="6" max="7" width="8.6640625" style="6"/>
    <col min="8" max="8" width="3.25" style="6" customWidth="1"/>
    <col min="9" max="9" width="23.08203125" style="6" customWidth="1"/>
    <col min="10" max="10" width="12.6640625" style="6" bestFit="1" customWidth="1"/>
    <col min="11" max="11" width="12.83203125" style="6" bestFit="1" customWidth="1"/>
    <col min="12" max="12" width="3.6640625" style="6" customWidth="1"/>
    <col min="13" max="13" width="9.9140625" style="6" customWidth="1"/>
    <col min="14" max="14" width="12.6640625" style="6" bestFit="1" customWidth="1"/>
    <col min="15" max="15" width="12.83203125" style="6" bestFit="1" customWidth="1"/>
    <col min="16" max="257" width="8.6640625" style="6"/>
    <col min="258" max="258" width="11.1640625" style="6" customWidth="1"/>
    <col min="259" max="260" width="8.6640625" style="6"/>
    <col min="261" max="261" width="11.5" style="6" customWidth="1"/>
    <col min="262" max="263" width="8.6640625" style="6"/>
    <col min="264" max="264" width="3.25" style="6" customWidth="1"/>
    <col min="265" max="265" width="23.08203125" style="6" customWidth="1"/>
    <col min="266" max="266" width="12.6640625" style="6" bestFit="1" customWidth="1"/>
    <col min="267" max="267" width="12.83203125" style="6" bestFit="1" customWidth="1"/>
    <col min="268" max="268" width="3.6640625" style="6" customWidth="1"/>
    <col min="269" max="269" width="23.08203125" style="6" customWidth="1"/>
    <col min="270" max="270" width="12.6640625" style="6" bestFit="1" customWidth="1"/>
    <col min="271" max="271" width="12.83203125" style="6" bestFit="1" customWidth="1"/>
    <col min="272" max="513" width="8.6640625" style="6"/>
    <col min="514" max="514" width="11.1640625" style="6" customWidth="1"/>
    <col min="515" max="516" width="8.6640625" style="6"/>
    <col min="517" max="517" width="11.5" style="6" customWidth="1"/>
    <col min="518" max="519" width="8.6640625" style="6"/>
    <col min="520" max="520" width="3.25" style="6" customWidth="1"/>
    <col min="521" max="521" width="23.08203125" style="6" customWidth="1"/>
    <col min="522" max="522" width="12.6640625" style="6" bestFit="1" customWidth="1"/>
    <col min="523" max="523" width="12.83203125" style="6" bestFit="1" customWidth="1"/>
    <col min="524" max="524" width="3.6640625" style="6" customWidth="1"/>
    <col min="525" max="525" width="23.08203125" style="6" customWidth="1"/>
    <col min="526" max="526" width="12.6640625" style="6" bestFit="1" customWidth="1"/>
    <col min="527" max="527" width="12.83203125" style="6" bestFit="1" customWidth="1"/>
    <col min="528" max="769" width="8.6640625" style="6"/>
    <col min="770" max="770" width="11.1640625" style="6" customWidth="1"/>
    <col min="771" max="772" width="8.6640625" style="6"/>
    <col min="773" max="773" width="11.5" style="6" customWidth="1"/>
    <col min="774" max="775" width="8.6640625" style="6"/>
    <col min="776" max="776" width="3.25" style="6" customWidth="1"/>
    <col min="777" max="777" width="23.08203125" style="6" customWidth="1"/>
    <col min="778" max="778" width="12.6640625" style="6" bestFit="1" customWidth="1"/>
    <col min="779" max="779" width="12.83203125" style="6" bestFit="1" customWidth="1"/>
    <col min="780" max="780" width="3.6640625" style="6" customWidth="1"/>
    <col min="781" max="781" width="23.08203125" style="6" customWidth="1"/>
    <col min="782" max="782" width="12.6640625" style="6" bestFit="1" customWidth="1"/>
    <col min="783" max="783" width="12.83203125" style="6" bestFit="1" customWidth="1"/>
    <col min="784" max="1025" width="8.6640625" style="6"/>
    <col min="1026" max="1026" width="11.1640625" style="6" customWidth="1"/>
    <col min="1027" max="1028" width="8.6640625" style="6"/>
    <col min="1029" max="1029" width="11.5" style="6" customWidth="1"/>
    <col min="1030" max="1031" width="8.6640625" style="6"/>
    <col min="1032" max="1032" width="3.25" style="6" customWidth="1"/>
    <col min="1033" max="1033" width="23.08203125" style="6" customWidth="1"/>
    <col min="1034" max="1034" width="12.6640625" style="6" bestFit="1" customWidth="1"/>
    <col min="1035" max="1035" width="12.83203125" style="6" bestFit="1" customWidth="1"/>
    <col min="1036" max="1036" width="3.6640625" style="6" customWidth="1"/>
    <col min="1037" max="1037" width="23.08203125" style="6" customWidth="1"/>
    <col min="1038" max="1038" width="12.6640625" style="6" bestFit="1" customWidth="1"/>
    <col min="1039" max="1039" width="12.83203125" style="6" bestFit="1" customWidth="1"/>
    <col min="1040" max="1281" width="8.6640625" style="6"/>
    <col min="1282" max="1282" width="11.1640625" style="6" customWidth="1"/>
    <col min="1283" max="1284" width="8.6640625" style="6"/>
    <col min="1285" max="1285" width="11.5" style="6" customWidth="1"/>
    <col min="1286" max="1287" width="8.6640625" style="6"/>
    <col min="1288" max="1288" width="3.25" style="6" customWidth="1"/>
    <col min="1289" max="1289" width="23.08203125" style="6" customWidth="1"/>
    <col min="1290" max="1290" width="12.6640625" style="6" bestFit="1" customWidth="1"/>
    <col min="1291" max="1291" width="12.83203125" style="6" bestFit="1" customWidth="1"/>
    <col min="1292" max="1292" width="3.6640625" style="6" customWidth="1"/>
    <col min="1293" max="1293" width="23.08203125" style="6" customWidth="1"/>
    <col min="1294" max="1294" width="12.6640625" style="6" bestFit="1" customWidth="1"/>
    <col min="1295" max="1295" width="12.83203125" style="6" bestFit="1" customWidth="1"/>
    <col min="1296" max="1537" width="8.6640625" style="6"/>
    <col min="1538" max="1538" width="11.1640625" style="6" customWidth="1"/>
    <col min="1539" max="1540" width="8.6640625" style="6"/>
    <col min="1541" max="1541" width="11.5" style="6" customWidth="1"/>
    <col min="1542" max="1543" width="8.6640625" style="6"/>
    <col min="1544" max="1544" width="3.25" style="6" customWidth="1"/>
    <col min="1545" max="1545" width="23.08203125" style="6" customWidth="1"/>
    <col min="1546" max="1546" width="12.6640625" style="6" bestFit="1" customWidth="1"/>
    <col min="1547" max="1547" width="12.83203125" style="6" bestFit="1" customWidth="1"/>
    <col min="1548" max="1548" width="3.6640625" style="6" customWidth="1"/>
    <col min="1549" max="1549" width="23.08203125" style="6" customWidth="1"/>
    <col min="1550" max="1550" width="12.6640625" style="6" bestFit="1" customWidth="1"/>
    <col min="1551" max="1551" width="12.83203125" style="6" bestFit="1" customWidth="1"/>
    <col min="1552" max="1793" width="8.6640625" style="6"/>
    <col min="1794" max="1794" width="11.1640625" style="6" customWidth="1"/>
    <col min="1795" max="1796" width="8.6640625" style="6"/>
    <col min="1797" max="1797" width="11.5" style="6" customWidth="1"/>
    <col min="1798" max="1799" width="8.6640625" style="6"/>
    <col min="1800" max="1800" width="3.25" style="6" customWidth="1"/>
    <col min="1801" max="1801" width="23.08203125" style="6" customWidth="1"/>
    <col min="1802" max="1802" width="12.6640625" style="6" bestFit="1" customWidth="1"/>
    <col min="1803" max="1803" width="12.83203125" style="6" bestFit="1" customWidth="1"/>
    <col min="1804" max="1804" width="3.6640625" style="6" customWidth="1"/>
    <col min="1805" max="1805" width="23.08203125" style="6" customWidth="1"/>
    <col min="1806" max="1806" width="12.6640625" style="6" bestFit="1" customWidth="1"/>
    <col min="1807" max="1807" width="12.83203125" style="6" bestFit="1" customWidth="1"/>
    <col min="1808" max="2049" width="8.6640625" style="6"/>
    <col min="2050" max="2050" width="11.1640625" style="6" customWidth="1"/>
    <col min="2051" max="2052" width="8.6640625" style="6"/>
    <col min="2053" max="2053" width="11.5" style="6" customWidth="1"/>
    <col min="2054" max="2055" width="8.6640625" style="6"/>
    <col min="2056" max="2056" width="3.25" style="6" customWidth="1"/>
    <col min="2057" max="2057" width="23.08203125" style="6" customWidth="1"/>
    <col min="2058" max="2058" width="12.6640625" style="6" bestFit="1" customWidth="1"/>
    <col min="2059" max="2059" width="12.83203125" style="6" bestFit="1" customWidth="1"/>
    <col min="2060" max="2060" width="3.6640625" style="6" customWidth="1"/>
    <col min="2061" max="2061" width="23.08203125" style="6" customWidth="1"/>
    <col min="2062" max="2062" width="12.6640625" style="6" bestFit="1" customWidth="1"/>
    <col min="2063" max="2063" width="12.83203125" style="6" bestFit="1" customWidth="1"/>
    <col min="2064" max="2305" width="8.6640625" style="6"/>
    <col min="2306" max="2306" width="11.1640625" style="6" customWidth="1"/>
    <col min="2307" max="2308" width="8.6640625" style="6"/>
    <col min="2309" max="2309" width="11.5" style="6" customWidth="1"/>
    <col min="2310" max="2311" width="8.6640625" style="6"/>
    <col min="2312" max="2312" width="3.25" style="6" customWidth="1"/>
    <col min="2313" max="2313" width="23.08203125" style="6" customWidth="1"/>
    <col min="2314" max="2314" width="12.6640625" style="6" bestFit="1" customWidth="1"/>
    <col min="2315" max="2315" width="12.83203125" style="6" bestFit="1" customWidth="1"/>
    <col min="2316" max="2316" width="3.6640625" style="6" customWidth="1"/>
    <col min="2317" max="2317" width="23.08203125" style="6" customWidth="1"/>
    <col min="2318" max="2318" width="12.6640625" style="6" bestFit="1" customWidth="1"/>
    <col min="2319" max="2319" width="12.83203125" style="6" bestFit="1" customWidth="1"/>
    <col min="2320" max="2561" width="8.6640625" style="6"/>
    <col min="2562" max="2562" width="11.1640625" style="6" customWidth="1"/>
    <col min="2563" max="2564" width="8.6640625" style="6"/>
    <col min="2565" max="2565" width="11.5" style="6" customWidth="1"/>
    <col min="2566" max="2567" width="8.6640625" style="6"/>
    <col min="2568" max="2568" width="3.25" style="6" customWidth="1"/>
    <col min="2569" max="2569" width="23.08203125" style="6" customWidth="1"/>
    <col min="2570" max="2570" width="12.6640625" style="6" bestFit="1" customWidth="1"/>
    <col min="2571" max="2571" width="12.83203125" style="6" bestFit="1" customWidth="1"/>
    <col min="2572" max="2572" width="3.6640625" style="6" customWidth="1"/>
    <col min="2573" max="2573" width="23.08203125" style="6" customWidth="1"/>
    <col min="2574" max="2574" width="12.6640625" style="6" bestFit="1" customWidth="1"/>
    <col min="2575" max="2575" width="12.83203125" style="6" bestFit="1" customWidth="1"/>
    <col min="2576" max="2817" width="8.6640625" style="6"/>
    <col min="2818" max="2818" width="11.1640625" style="6" customWidth="1"/>
    <col min="2819" max="2820" width="8.6640625" style="6"/>
    <col min="2821" max="2821" width="11.5" style="6" customWidth="1"/>
    <col min="2822" max="2823" width="8.6640625" style="6"/>
    <col min="2824" max="2824" width="3.25" style="6" customWidth="1"/>
    <col min="2825" max="2825" width="23.08203125" style="6" customWidth="1"/>
    <col min="2826" max="2826" width="12.6640625" style="6" bestFit="1" customWidth="1"/>
    <col min="2827" max="2827" width="12.83203125" style="6" bestFit="1" customWidth="1"/>
    <col min="2828" max="2828" width="3.6640625" style="6" customWidth="1"/>
    <col min="2829" max="2829" width="23.08203125" style="6" customWidth="1"/>
    <col min="2830" max="2830" width="12.6640625" style="6" bestFit="1" customWidth="1"/>
    <col min="2831" max="2831" width="12.83203125" style="6" bestFit="1" customWidth="1"/>
    <col min="2832" max="3073" width="8.6640625" style="6"/>
    <col min="3074" max="3074" width="11.1640625" style="6" customWidth="1"/>
    <col min="3075" max="3076" width="8.6640625" style="6"/>
    <col min="3077" max="3077" width="11.5" style="6" customWidth="1"/>
    <col min="3078" max="3079" width="8.6640625" style="6"/>
    <col min="3080" max="3080" width="3.25" style="6" customWidth="1"/>
    <col min="3081" max="3081" width="23.08203125" style="6" customWidth="1"/>
    <col min="3082" max="3082" width="12.6640625" style="6" bestFit="1" customWidth="1"/>
    <col min="3083" max="3083" width="12.83203125" style="6" bestFit="1" customWidth="1"/>
    <col min="3084" max="3084" width="3.6640625" style="6" customWidth="1"/>
    <col min="3085" max="3085" width="23.08203125" style="6" customWidth="1"/>
    <col min="3086" max="3086" width="12.6640625" style="6" bestFit="1" customWidth="1"/>
    <col min="3087" max="3087" width="12.83203125" style="6" bestFit="1" customWidth="1"/>
    <col min="3088" max="3329" width="8.6640625" style="6"/>
    <col min="3330" max="3330" width="11.1640625" style="6" customWidth="1"/>
    <col min="3331" max="3332" width="8.6640625" style="6"/>
    <col min="3333" max="3333" width="11.5" style="6" customWidth="1"/>
    <col min="3334" max="3335" width="8.6640625" style="6"/>
    <col min="3336" max="3336" width="3.25" style="6" customWidth="1"/>
    <col min="3337" max="3337" width="23.08203125" style="6" customWidth="1"/>
    <col min="3338" max="3338" width="12.6640625" style="6" bestFit="1" customWidth="1"/>
    <col min="3339" max="3339" width="12.83203125" style="6" bestFit="1" customWidth="1"/>
    <col min="3340" max="3340" width="3.6640625" style="6" customWidth="1"/>
    <col min="3341" max="3341" width="23.08203125" style="6" customWidth="1"/>
    <col min="3342" max="3342" width="12.6640625" style="6" bestFit="1" customWidth="1"/>
    <col min="3343" max="3343" width="12.83203125" style="6" bestFit="1" customWidth="1"/>
    <col min="3344" max="3585" width="8.6640625" style="6"/>
    <col min="3586" max="3586" width="11.1640625" style="6" customWidth="1"/>
    <col min="3587" max="3588" width="8.6640625" style="6"/>
    <col min="3589" max="3589" width="11.5" style="6" customWidth="1"/>
    <col min="3590" max="3591" width="8.6640625" style="6"/>
    <col min="3592" max="3592" width="3.25" style="6" customWidth="1"/>
    <col min="3593" max="3593" width="23.08203125" style="6" customWidth="1"/>
    <col min="3594" max="3594" width="12.6640625" style="6" bestFit="1" customWidth="1"/>
    <col min="3595" max="3595" width="12.83203125" style="6" bestFit="1" customWidth="1"/>
    <col min="3596" max="3596" width="3.6640625" style="6" customWidth="1"/>
    <col min="3597" max="3597" width="23.08203125" style="6" customWidth="1"/>
    <col min="3598" max="3598" width="12.6640625" style="6" bestFit="1" customWidth="1"/>
    <col min="3599" max="3599" width="12.83203125" style="6" bestFit="1" customWidth="1"/>
    <col min="3600" max="3841" width="8.6640625" style="6"/>
    <col min="3842" max="3842" width="11.1640625" style="6" customWidth="1"/>
    <col min="3843" max="3844" width="8.6640625" style="6"/>
    <col min="3845" max="3845" width="11.5" style="6" customWidth="1"/>
    <col min="3846" max="3847" width="8.6640625" style="6"/>
    <col min="3848" max="3848" width="3.25" style="6" customWidth="1"/>
    <col min="3849" max="3849" width="23.08203125" style="6" customWidth="1"/>
    <col min="3850" max="3850" width="12.6640625" style="6" bestFit="1" customWidth="1"/>
    <col min="3851" max="3851" width="12.83203125" style="6" bestFit="1" customWidth="1"/>
    <col min="3852" max="3852" width="3.6640625" style="6" customWidth="1"/>
    <col min="3853" max="3853" width="23.08203125" style="6" customWidth="1"/>
    <col min="3854" max="3854" width="12.6640625" style="6" bestFit="1" customWidth="1"/>
    <col min="3855" max="3855" width="12.83203125" style="6" bestFit="1" customWidth="1"/>
    <col min="3856" max="4097" width="8.6640625" style="6"/>
    <col min="4098" max="4098" width="11.1640625" style="6" customWidth="1"/>
    <col min="4099" max="4100" width="8.6640625" style="6"/>
    <col min="4101" max="4101" width="11.5" style="6" customWidth="1"/>
    <col min="4102" max="4103" width="8.6640625" style="6"/>
    <col min="4104" max="4104" width="3.25" style="6" customWidth="1"/>
    <col min="4105" max="4105" width="23.08203125" style="6" customWidth="1"/>
    <col min="4106" max="4106" width="12.6640625" style="6" bestFit="1" customWidth="1"/>
    <col min="4107" max="4107" width="12.83203125" style="6" bestFit="1" customWidth="1"/>
    <col min="4108" max="4108" width="3.6640625" style="6" customWidth="1"/>
    <col min="4109" max="4109" width="23.08203125" style="6" customWidth="1"/>
    <col min="4110" max="4110" width="12.6640625" style="6" bestFit="1" customWidth="1"/>
    <col min="4111" max="4111" width="12.83203125" style="6" bestFit="1" customWidth="1"/>
    <col min="4112" max="4353" width="8.6640625" style="6"/>
    <col min="4354" max="4354" width="11.1640625" style="6" customWidth="1"/>
    <col min="4355" max="4356" width="8.6640625" style="6"/>
    <col min="4357" max="4357" width="11.5" style="6" customWidth="1"/>
    <col min="4358" max="4359" width="8.6640625" style="6"/>
    <col min="4360" max="4360" width="3.25" style="6" customWidth="1"/>
    <col min="4361" max="4361" width="23.08203125" style="6" customWidth="1"/>
    <col min="4362" max="4362" width="12.6640625" style="6" bestFit="1" customWidth="1"/>
    <col min="4363" max="4363" width="12.83203125" style="6" bestFit="1" customWidth="1"/>
    <col min="4364" max="4364" width="3.6640625" style="6" customWidth="1"/>
    <col min="4365" max="4365" width="23.08203125" style="6" customWidth="1"/>
    <col min="4366" max="4366" width="12.6640625" style="6" bestFit="1" customWidth="1"/>
    <col min="4367" max="4367" width="12.83203125" style="6" bestFit="1" customWidth="1"/>
    <col min="4368" max="4609" width="8.6640625" style="6"/>
    <col min="4610" max="4610" width="11.1640625" style="6" customWidth="1"/>
    <col min="4611" max="4612" width="8.6640625" style="6"/>
    <col min="4613" max="4613" width="11.5" style="6" customWidth="1"/>
    <col min="4614" max="4615" width="8.6640625" style="6"/>
    <col min="4616" max="4616" width="3.25" style="6" customWidth="1"/>
    <col min="4617" max="4617" width="23.08203125" style="6" customWidth="1"/>
    <col min="4618" max="4618" width="12.6640625" style="6" bestFit="1" customWidth="1"/>
    <col min="4619" max="4619" width="12.83203125" style="6" bestFit="1" customWidth="1"/>
    <col min="4620" max="4620" width="3.6640625" style="6" customWidth="1"/>
    <col min="4621" max="4621" width="23.08203125" style="6" customWidth="1"/>
    <col min="4622" max="4622" width="12.6640625" style="6" bestFit="1" customWidth="1"/>
    <col min="4623" max="4623" width="12.83203125" style="6" bestFit="1" customWidth="1"/>
    <col min="4624" max="4865" width="8.6640625" style="6"/>
    <col min="4866" max="4866" width="11.1640625" style="6" customWidth="1"/>
    <col min="4867" max="4868" width="8.6640625" style="6"/>
    <col min="4869" max="4869" width="11.5" style="6" customWidth="1"/>
    <col min="4870" max="4871" width="8.6640625" style="6"/>
    <col min="4872" max="4872" width="3.25" style="6" customWidth="1"/>
    <col min="4873" max="4873" width="23.08203125" style="6" customWidth="1"/>
    <col min="4874" max="4874" width="12.6640625" style="6" bestFit="1" customWidth="1"/>
    <col min="4875" max="4875" width="12.83203125" style="6" bestFit="1" customWidth="1"/>
    <col min="4876" max="4876" width="3.6640625" style="6" customWidth="1"/>
    <col min="4877" max="4877" width="23.08203125" style="6" customWidth="1"/>
    <col min="4878" max="4878" width="12.6640625" style="6" bestFit="1" customWidth="1"/>
    <col min="4879" max="4879" width="12.83203125" style="6" bestFit="1" customWidth="1"/>
    <col min="4880" max="5121" width="8.6640625" style="6"/>
    <col min="5122" max="5122" width="11.1640625" style="6" customWidth="1"/>
    <col min="5123" max="5124" width="8.6640625" style="6"/>
    <col min="5125" max="5125" width="11.5" style="6" customWidth="1"/>
    <col min="5126" max="5127" width="8.6640625" style="6"/>
    <col min="5128" max="5128" width="3.25" style="6" customWidth="1"/>
    <col min="5129" max="5129" width="23.08203125" style="6" customWidth="1"/>
    <col min="5130" max="5130" width="12.6640625" style="6" bestFit="1" customWidth="1"/>
    <col min="5131" max="5131" width="12.83203125" style="6" bestFit="1" customWidth="1"/>
    <col min="5132" max="5132" width="3.6640625" style="6" customWidth="1"/>
    <col min="5133" max="5133" width="23.08203125" style="6" customWidth="1"/>
    <col min="5134" max="5134" width="12.6640625" style="6" bestFit="1" customWidth="1"/>
    <col min="5135" max="5135" width="12.83203125" style="6" bestFit="1" customWidth="1"/>
    <col min="5136" max="5377" width="8.6640625" style="6"/>
    <col min="5378" max="5378" width="11.1640625" style="6" customWidth="1"/>
    <col min="5379" max="5380" width="8.6640625" style="6"/>
    <col min="5381" max="5381" width="11.5" style="6" customWidth="1"/>
    <col min="5382" max="5383" width="8.6640625" style="6"/>
    <col min="5384" max="5384" width="3.25" style="6" customWidth="1"/>
    <col min="5385" max="5385" width="23.08203125" style="6" customWidth="1"/>
    <col min="5386" max="5386" width="12.6640625" style="6" bestFit="1" customWidth="1"/>
    <col min="5387" max="5387" width="12.83203125" style="6" bestFit="1" customWidth="1"/>
    <col min="5388" max="5388" width="3.6640625" style="6" customWidth="1"/>
    <col min="5389" max="5389" width="23.08203125" style="6" customWidth="1"/>
    <col min="5390" max="5390" width="12.6640625" style="6" bestFit="1" customWidth="1"/>
    <col min="5391" max="5391" width="12.83203125" style="6" bestFit="1" customWidth="1"/>
    <col min="5392" max="5633" width="8.6640625" style="6"/>
    <col min="5634" max="5634" width="11.1640625" style="6" customWidth="1"/>
    <col min="5635" max="5636" width="8.6640625" style="6"/>
    <col min="5637" max="5637" width="11.5" style="6" customWidth="1"/>
    <col min="5638" max="5639" width="8.6640625" style="6"/>
    <col min="5640" max="5640" width="3.25" style="6" customWidth="1"/>
    <col min="5641" max="5641" width="23.08203125" style="6" customWidth="1"/>
    <col min="5642" max="5642" width="12.6640625" style="6" bestFit="1" customWidth="1"/>
    <col min="5643" max="5643" width="12.83203125" style="6" bestFit="1" customWidth="1"/>
    <col min="5644" max="5644" width="3.6640625" style="6" customWidth="1"/>
    <col min="5645" max="5645" width="23.08203125" style="6" customWidth="1"/>
    <col min="5646" max="5646" width="12.6640625" style="6" bestFit="1" customWidth="1"/>
    <col min="5647" max="5647" width="12.83203125" style="6" bestFit="1" customWidth="1"/>
    <col min="5648" max="5889" width="8.6640625" style="6"/>
    <col min="5890" max="5890" width="11.1640625" style="6" customWidth="1"/>
    <col min="5891" max="5892" width="8.6640625" style="6"/>
    <col min="5893" max="5893" width="11.5" style="6" customWidth="1"/>
    <col min="5894" max="5895" width="8.6640625" style="6"/>
    <col min="5896" max="5896" width="3.25" style="6" customWidth="1"/>
    <col min="5897" max="5897" width="23.08203125" style="6" customWidth="1"/>
    <col min="5898" max="5898" width="12.6640625" style="6" bestFit="1" customWidth="1"/>
    <col min="5899" max="5899" width="12.83203125" style="6" bestFit="1" customWidth="1"/>
    <col min="5900" max="5900" width="3.6640625" style="6" customWidth="1"/>
    <col min="5901" max="5901" width="23.08203125" style="6" customWidth="1"/>
    <col min="5902" max="5902" width="12.6640625" style="6" bestFit="1" customWidth="1"/>
    <col min="5903" max="5903" width="12.83203125" style="6" bestFit="1" customWidth="1"/>
    <col min="5904" max="6145" width="8.6640625" style="6"/>
    <col min="6146" max="6146" width="11.1640625" style="6" customWidth="1"/>
    <col min="6147" max="6148" width="8.6640625" style="6"/>
    <col min="6149" max="6149" width="11.5" style="6" customWidth="1"/>
    <col min="6150" max="6151" width="8.6640625" style="6"/>
    <col min="6152" max="6152" width="3.25" style="6" customWidth="1"/>
    <col min="6153" max="6153" width="23.08203125" style="6" customWidth="1"/>
    <col min="6154" max="6154" width="12.6640625" style="6" bestFit="1" customWidth="1"/>
    <col min="6155" max="6155" width="12.83203125" style="6" bestFit="1" customWidth="1"/>
    <col min="6156" max="6156" width="3.6640625" style="6" customWidth="1"/>
    <col min="6157" max="6157" width="23.08203125" style="6" customWidth="1"/>
    <col min="6158" max="6158" width="12.6640625" style="6" bestFit="1" customWidth="1"/>
    <col min="6159" max="6159" width="12.83203125" style="6" bestFit="1" customWidth="1"/>
    <col min="6160" max="6401" width="8.6640625" style="6"/>
    <col min="6402" max="6402" width="11.1640625" style="6" customWidth="1"/>
    <col min="6403" max="6404" width="8.6640625" style="6"/>
    <col min="6405" max="6405" width="11.5" style="6" customWidth="1"/>
    <col min="6406" max="6407" width="8.6640625" style="6"/>
    <col min="6408" max="6408" width="3.25" style="6" customWidth="1"/>
    <col min="6409" max="6409" width="23.08203125" style="6" customWidth="1"/>
    <col min="6410" max="6410" width="12.6640625" style="6" bestFit="1" customWidth="1"/>
    <col min="6411" max="6411" width="12.83203125" style="6" bestFit="1" customWidth="1"/>
    <col min="6412" max="6412" width="3.6640625" style="6" customWidth="1"/>
    <col min="6413" max="6413" width="23.08203125" style="6" customWidth="1"/>
    <col min="6414" max="6414" width="12.6640625" style="6" bestFit="1" customWidth="1"/>
    <col min="6415" max="6415" width="12.83203125" style="6" bestFit="1" customWidth="1"/>
    <col min="6416" max="6657" width="8.6640625" style="6"/>
    <col min="6658" max="6658" width="11.1640625" style="6" customWidth="1"/>
    <col min="6659" max="6660" width="8.6640625" style="6"/>
    <col min="6661" max="6661" width="11.5" style="6" customWidth="1"/>
    <col min="6662" max="6663" width="8.6640625" style="6"/>
    <col min="6664" max="6664" width="3.25" style="6" customWidth="1"/>
    <col min="6665" max="6665" width="23.08203125" style="6" customWidth="1"/>
    <col min="6666" max="6666" width="12.6640625" style="6" bestFit="1" customWidth="1"/>
    <col min="6667" max="6667" width="12.83203125" style="6" bestFit="1" customWidth="1"/>
    <col min="6668" max="6668" width="3.6640625" style="6" customWidth="1"/>
    <col min="6669" max="6669" width="23.08203125" style="6" customWidth="1"/>
    <col min="6670" max="6670" width="12.6640625" style="6" bestFit="1" customWidth="1"/>
    <col min="6671" max="6671" width="12.83203125" style="6" bestFit="1" customWidth="1"/>
    <col min="6672" max="6913" width="8.6640625" style="6"/>
    <col min="6914" max="6914" width="11.1640625" style="6" customWidth="1"/>
    <col min="6915" max="6916" width="8.6640625" style="6"/>
    <col min="6917" max="6917" width="11.5" style="6" customWidth="1"/>
    <col min="6918" max="6919" width="8.6640625" style="6"/>
    <col min="6920" max="6920" width="3.25" style="6" customWidth="1"/>
    <col min="6921" max="6921" width="23.08203125" style="6" customWidth="1"/>
    <col min="6922" max="6922" width="12.6640625" style="6" bestFit="1" customWidth="1"/>
    <col min="6923" max="6923" width="12.83203125" style="6" bestFit="1" customWidth="1"/>
    <col min="6924" max="6924" width="3.6640625" style="6" customWidth="1"/>
    <col min="6925" max="6925" width="23.08203125" style="6" customWidth="1"/>
    <col min="6926" max="6926" width="12.6640625" style="6" bestFit="1" customWidth="1"/>
    <col min="6927" max="6927" width="12.83203125" style="6" bestFit="1" customWidth="1"/>
    <col min="6928" max="7169" width="8.6640625" style="6"/>
    <col min="7170" max="7170" width="11.1640625" style="6" customWidth="1"/>
    <col min="7171" max="7172" width="8.6640625" style="6"/>
    <col min="7173" max="7173" width="11.5" style="6" customWidth="1"/>
    <col min="7174" max="7175" width="8.6640625" style="6"/>
    <col min="7176" max="7176" width="3.25" style="6" customWidth="1"/>
    <col min="7177" max="7177" width="23.08203125" style="6" customWidth="1"/>
    <col min="7178" max="7178" width="12.6640625" style="6" bestFit="1" customWidth="1"/>
    <col min="7179" max="7179" width="12.83203125" style="6" bestFit="1" customWidth="1"/>
    <col min="7180" max="7180" width="3.6640625" style="6" customWidth="1"/>
    <col min="7181" max="7181" width="23.08203125" style="6" customWidth="1"/>
    <col min="7182" max="7182" width="12.6640625" style="6" bestFit="1" customWidth="1"/>
    <col min="7183" max="7183" width="12.83203125" style="6" bestFit="1" customWidth="1"/>
    <col min="7184" max="7425" width="8.6640625" style="6"/>
    <col min="7426" max="7426" width="11.1640625" style="6" customWidth="1"/>
    <col min="7427" max="7428" width="8.6640625" style="6"/>
    <col min="7429" max="7429" width="11.5" style="6" customWidth="1"/>
    <col min="7430" max="7431" width="8.6640625" style="6"/>
    <col min="7432" max="7432" width="3.25" style="6" customWidth="1"/>
    <col min="7433" max="7433" width="23.08203125" style="6" customWidth="1"/>
    <col min="7434" max="7434" width="12.6640625" style="6" bestFit="1" customWidth="1"/>
    <col min="7435" max="7435" width="12.83203125" style="6" bestFit="1" customWidth="1"/>
    <col min="7436" max="7436" width="3.6640625" style="6" customWidth="1"/>
    <col min="7437" max="7437" width="23.08203125" style="6" customWidth="1"/>
    <col min="7438" max="7438" width="12.6640625" style="6" bestFit="1" customWidth="1"/>
    <col min="7439" max="7439" width="12.83203125" style="6" bestFit="1" customWidth="1"/>
    <col min="7440" max="7681" width="8.6640625" style="6"/>
    <col min="7682" max="7682" width="11.1640625" style="6" customWidth="1"/>
    <col min="7683" max="7684" width="8.6640625" style="6"/>
    <col min="7685" max="7685" width="11.5" style="6" customWidth="1"/>
    <col min="7686" max="7687" width="8.6640625" style="6"/>
    <col min="7688" max="7688" width="3.25" style="6" customWidth="1"/>
    <col min="7689" max="7689" width="23.08203125" style="6" customWidth="1"/>
    <col min="7690" max="7690" width="12.6640625" style="6" bestFit="1" customWidth="1"/>
    <col min="7691" max="7691" width="12.83203125" style="6" bestFit="1" customWidth="1"/>
    <col min="7692" max="7692" width="3.6640625" style="6" customWidth="1"/>
    <col min="7693" max="7693" width="23.08203125" style="6" customWidth="1"/>
    <col min="7694" max="7694" width="12.6640625" style="6" bestFit="1" customWidth="1"/>
    <col min="7695" max="7695" width="12.83203125" style="6" bestFit="1" customWidth="1"/>
    <col min="7696" max="7937" width="8.6640625" style="6"/>
    <col min="7938" max="7938" width="11.1640625" style="6" customWidth="1"/>
    <col min="7939" max="7940" width="8.6640625" style="6"/>
    <col min="7941" max="7941" width="11.5" style="6" customWidth="1"/>
    <col min="7942" max="7943" width="8.6640625" style="6"/>
    <col min="7944" max="7944" width="3.25" style="6" customWidth="1"/>
    <col min="7945" max="7945" width="23.08203125" style="6" customWidth="1"/>
    <col min="7946" max="7946" width="12.6640625" style="6" bestFit="1" customWidth="1"/>
    <col min="7947" max="7947" width="12.83203125" style="6" bestFit="1" customWidth="1"/>
    <col min="7948" max="7948" width="3.6640625" style="6" customWidth="1"/>
    <col min="7949" max="7949" width="23.08203125" style="6" customWidth="1"/>
    <col min="7950" max="7950" width="12.6640625" style="6" bestFit="1" customWidth="1"/>
    <col min="7951" max="7951" width="12.83203125" style="6" bestFit="1" customWidth="1"/>
    <col min="7952" max="8193" width="8.6640625" style="6"/>
    <col min="8194" max="8194" width="11.1640625" style="6" customWidth="1"/>
    <col min="8195" max="8196" width="8.6640625" style="6"/>
    <col min="8197" max="8197" width="11.5" style="6" customWidth="1"/>
    <col min="8198" max="8199" width="8.6640625" style="6"/>
    <col min="8200" max="8200" width="3.25" style="6" customWidth="1"/>
    <col min="8201" max="8201" width="23.08203125" style="6" customWidth="1"/>
    <col min="8202" max="8202" width="12.6640625" style="6" bestFit="1" customWidth="1"/>
    <col min="8203" max="8203" width="12.83203125" style="6" bestFit="1" customWidth="1"/>
    <col min="8204" max="8204" width="3.6640625" style="6" customWidth="1"/>
    <col min="8205" max="8205" width="23.08203125" style="6" customWidth="1"/>
    <col min="8206" max="8206" width="12.6640625" style="6" bestFit="1" customWidth="1"/>
    <col min="8207" max="8207" width="12.83203125" style="6" bestFit="1" customWidth="1"/>
    <col min="8208" max="8449" width="8.6640625" style="6"/>
    <col min="8450" max="8450" width="11.1640625" style="6" customWidth="1"/>
    <col min="8451" max="8452" width="8.6640625" style="6"/>
    <col min="8453" max="8453" width="11.5" style="6" customWidth="1"/>
    <col min="8454" max="8455" width="8.6640625" style="6"/>
    <col min="8456" max="8456" width="3.25" style="6" customWidth="1"/>
    <col min="8457" max="8457" width="23.08203125" style="6" customWidth="1"/>
    <col min="8458" max="8458" width="12.6640625" style="6" bestFit="1" customWidth="1"/>
    <col min="8459" max="8459" width="12.83203125" style="6" bestFit="1" customWidth="1"/>
    <col min="8460" max="8460" width="3.6640625" style="6" customWidth="1"/>
    <col min="8461" max="8461" width="23.08203125" style="6" customWidth="1"/>
    <col min="8462" max="8462" width="12.6640625" style="6" bestFit="1" customWidth="1"/>
    <col min="8463" max="8463" width="12.83203125" style="6" bestFit="1" customWidth="1"/>
    <col min="8464" max="8705" width="8.6640625" style="6"/>
    <col min="8706" max="8706" width="11.1640625" style="6" customWidth="1"/>
    <col min="8707" max="8708" width="8.6640625" style="6"/>
    <col min="8709" max="8709" width="11.5" style="6" customWidth="1"/>
    <col min="8710" max="8711" width="8.6640625" style="6"/>
    <col min="8712" max="8712" width="3.25" style="6" customWidth="1"/>
    <col min="8713" max="8713" width="23.08203125" style="6" customWidth="1"/>
    <col min="8714" max="8714" width="12.6640625" style="6" bestFit="1" customWidth="1"/>
    <col min="8715" max="8715" width="12.83203125" style="6" bestFit="1" customWidth="1"/>
    <col min="8716" max="8716" width="3.6640625" style="6" customWidth="1"/>
    <col min="8717" max="8717" width="23.08203125" style="6" customWidth="1"/>
    <col min="8718" max="8718" width="12.6640625" style="6" bestFit="1" customWidth="1"/>
    <col min="8719" max="8719" width="12.83203125" style="6" bestFit="1" customWidth="1"/>
    <col min="8720" max="8961" width="8.6640625" style="6"/>
    <col min="8962" max="8962" width="11.1640625" style="6" customWidth="1"/>
    <col min="8963" max="8964" width="8.6640625" style="6"/>
    <col min="8965" max="8965" width="11.5" style="6" customWidth="1"/>
    <col min="8966" max="8967" width="8.6640625" style="6"/>
    <col min="8968" max="8968" width="3.25" style="6" customWidth="1"/>
    <col min="8969" max="8969" width="23.08203125" style="6" customWidth="1"/>
    <col min="8970" max="8970" width="12.6640625" style="6" bestFit="1" customWidth="1"/>
    <col min="8971" max="8971" width="12.83203125" style="6" bestFit="1" customWidth="1"/>
    <col min="8972" max="8972" width="3.6640625" style="6" customWidth="1"/>
    <col min="8973" max="8973" width="23.08203125" style="6" customWidth="1"/>
    <col min="8974" max="8974" width="12.6640625" style="6" bestFit="1" customWidth="1"/>
    <col min="8975" max="8975" width="12.83203125" style="6" bestFit="1" customWidth="1"/>
    <col min="8976" max="9217" width="8.6640625" style="6"/>
    <col min="9218" max="9218" width="11.1640625" style="6" customWidth="1"/>
    <col min="9219" max="9220" width="8.6640625" style="6"/>
    <col min="9221" max="9221" width="11.5" style="6" customWidth="1"/>
    <col min="9222" max="9223" width="8.6640625" style="6"/>
    <col min="9224" max="9224" width="3.25" style="6" customWidth="1"/>
    <col min="9225" max="9225" width="23.08203125" style="6" customWidth="1"/>
    <col min="9226" max="9226" width="12.6640625" style="6" bestFit="1" customWidth="1"/>
    <col min="9227" max="9227" width="12.83203125" style="6" bestFit="1" customWidth="1"/>
    <col min="9228" max="9228" width="3.6640625" style="6" customWidth="1"/>
    <col min="9229" max="9229" width="23.08203125" style="6" customWidth="1"/>
    <col min="9230" max="9230" width="12.6640625" style="6" bestFit="1" customWidth="1"/>
    <col min="9231" max="9231" width="12.83203125" style="6" bestFit="1" customWidth="1"/>
    <col min="9232" max="9473" width="8.6640625" style="6"/>
    <col min="9474" max="9474" width="11.1640625" style="6" customWidth="1"/>
    <col min="9475" max="9476" width="8.6640625" style="6"/>
    <col min="9477" max="9477" width="11.5" style="6" customWidth="1"/>
    <col min="9478" max="9479" width="8.6640625" style="6"/>
    <col min="9480" max="9480" width="3.25" style="6" customWidth="1"/>
    <col min="9481" max="9481" width="23.08203125" style="6" customWidth="1"/>
    <col min="9482" max="9482" width="12.6640625" style="6" bestFit="1" customWidth="1"/>
    <col min="9483" max="9483" width="12.83203125" style="6" bestFit="1" customWidth="1"/>
    <col min="9484" max="9484" width="3.6640625" style="6" customWidth="1"/>
    <col min="9485" max="9485" width="23.08203125" style="6" customWidth="1"/>
    <col min="9486" max="9486" width="12.6640625" style="6" bestFit="1" customWidth="1"/>
    <col min="9487" max="9487" width="12.83203125" style="6" bestFit="1" customWidth="1"/>
    <col min="9488" max="9729" width="8.6640625" style="6"/>
    <col min="9730" max="9730" width="11.1640625" style="6" customWidth="1"/>
    <col min="9731" max="9732" width="8.6640625" style="6"/>
    <col min="9733" max="9733" width="11.5" style="6" customWidth="1"/>
    <col min="9734" max="9735" width="8.6640625" style="6"/>
    <col min="9736" max="9736" width="3.25" style="6" customWidth="1"/>
    <col min="9737" max="9737" width="23.08203125" style="6" customWidth="1"/>
    <col min="9738" max="9738" width="12.6640625" style="6" bestFit="1" customWidth="1"/>
    <col min="9739" max="9739" width="12.83203125" style="6" bestFit="1" customWidth="1"/>
    <col min="9740" max="9740" width="3.6640625" style="6" customWidth="1"/>
    <col min="9741" max="9741" width="23.08203125" style="6" customWidth="1"/>
    <col min="9742" max="9742" width="12.6640625" style="6" bestFit="1" customWidth="1"/>
    <col min="9743" max="9743" width="12.83203125" style="6" bestFit="1" customWidth="1"/>
    <col min="9744" max="9985" width="8.6640625" style="6"/>
    <col min="9986" max="9986" width="11.1640625" style="6" customWidth="1"/>
    <col min="9987" max="9988" width="8.6640625" style="6"/>
    <col min="9989" max="9989" width="11.5" style="6" customWidth="1"/>
    <col min="9990" max="9991" width="8.6640625" style="6"/>
    <col min="9992" max="9992" width="3.25" style="6" customWidth="1"/>
    <col min="9993" max="9993" width="23.08203125" style="6" customWidth="1"/>
    <col min="9994" max="9994" width="12.6640625" style="6" bestFit="1" customWidth="1"/>
    <col min="9995" max="9995" width="12.83203125" style="6" bestFit="1" customWidth="1"/>
    <col min="9996" max="9996" width="3.6640625" style="6" customWidth="1"/>
    <col min="9997" max="9997" width="23.08203125" style="6" customWidth="1"/>
    <col min="9998" max="9998" width="12.6640625" style="6" bestFit="1" customWidth="1"/>
    <col min="9999" max="9999" width="12.83203125" style="6" bestFit="1" customWidth="1"/>
    <col min="10000" max="10241" width="8.6640625" style="6"/>
    <col min="10242" max="10242" width="11.1640625" style="6" customWidth="1"/>
    <col min="10243" max="10244" width="8.6640625" style="6"/>
    <col min="10245" max="10245" width="11.5" style="6" customWidth="1"/>
    <col min="10246" max="10247" width="8.6640625" style="6"/>
    <col min="10248" max="10248" width="3.25" style="6" customWidth="1"/>
    <col min="10249" max="10249" width="23.08203125" style="6" customWidth="1"/>
    <col min="10250" max="10250" width="12.6640625" style="6" bestFit="1" customWidth="1"/>
    <col min="10251" max="10251" width="12.83203125" style="6" bestFit="1" customWidth="1"/>
    <col min="10252" max="10252" width="3.6640625" style="6" customWidth="1"/>
    <col min="10253" max="10253" width="23.08203125" style="6" customWidth="1"/>
    <col min="10254" max="10254" width="12.6640625" style="6" bestFit="1" customWidth="1"/>
    <col min="10255" max="10255" width="12.83203125" style="6" bestFit="1" customWidth="1"/>
    <col min="10256" max="10497" width="8.6640625" style="6"/>
    <col min="10498" max="10498" width="11.1640625" style="6" customWidth="1"/>
    <col min="10499" max="10500" width="8.6640625" style="6"/>
    <col min="10501" max="10501" width="11.5" style="6" customWidth="1"/>
    <col min="10502" max="10503" width="8.6640625" style="6"/>
    <col min="10504" max="10504" width="3.25" style="6" customWidth="1"/>
    <col min="10505" max="10505" width="23.08203125" style="6" customWidth="1"/>
    <col min="10506" max="10506" width="12.6640625" style="6" bestFit="1" customWidth="1"/>
    <col min="10507" max="10507" width="12.83203125" style="6" bestFit="1" customWidth="1"/>
    <col min="10508" max="10508" width="3.6640625" style="6" customWidth="1"/>
    <col min="10509" max="10509" width="23.08203125" style="6" customWidth="1"/>
    <col min="10510" max="10510" width="12.6640625" style="6" bestFit="1" customWidth="1"/>
    <col min="10511" max="10511" width="12.83203125" style="6" bestFit="1" customWidth="1"/>
    <col min="10512" max="10753" width="8.6640625" style="6"/>
    <col min="10754" max="10754" width="11.1640625" style="6" customWidth="1"/>
    <col min="10755" max="10756" width="8.6640625" style="6"/>
    <col min="10757" max="10757" width="11.5" style="6" customWidth="1"/>
    <col min="10758" max="10759" width="8.6640625" style="6"/>
    <col min="10760" max="10760" width="3.25" style="6" customWidth="1"/>
    <col min="10761" max="10761" width="23.08203125" style="6" customWidth="1"/>
    <col min="10762" max="10762" width="12.6640625" style="6" bestFit="1" customWidth="1"/>
    <col min="10763" max="10763" width="12.83203125" style="6" bestFit="1" customWidth="1"/>
    <col min="10764" max="10764" width="3.6640625" style="6" customWidth="1"/>
    <col min="10765" max="10765" width="23.08203125" style="6" customWidth="1"/>
    <col min="10766" max="10766" width="12.6640625" style="6" bestFit="1" customWidth="1"/>
    <col min="10767" max="10767" width="12.83203125" style="6" bestFit="1" customWidth="1"/>
    <col min="10768" max="11009" width="8.6640625" style="6"/>
    <col min="11010" max="11010" width="11.1640625" style="6" customWidth="1"/>
    <col min="11011" max="11012" width="8.6640625" style="6"/>
    <col min="11013" max="11013" width="11.5" style="6" customWidth="1"/>
    <col min="11014" max="11015" width="8.6640625" style="6"/>
    <col min="11016" max="11016" width="3.25" style="6" customWidth="1"/>
    <col min="11017" max="11017" width="23.08203125" style="6" customWidth="1"/>
    <col min="11018" max="11018" width="12.6640625" style="6" bestFit="1" customWidth="1"/>
    <col min="11019" max="11019" width="12.83203125" style="6" bestFit="1" customWidth="1"/>
    <col min="11020" max="11020" width="3.6640625" style="6" customWidth="1"/>
    <col min="11021" max="11021" width="23.08203125" style="6" customWidth="1"/>
    <col min="11022" max="11022" width="12.6640625" style="6" bestFit="1" customWidth="1"/>
    <col min="11023" max="11023" width="12.83203125" style="6" bestFit="1" customWidth="1"/>
    <col min="11024" max="11265" width="8.6640625" style="6"/>
    <col min="11266" max="11266" width="11.1640625" style="6" customWidth="1"/>
    <col min="11267" max="11268" width="8.6640625" style="6"/>
    <col min="11269" max="11269" width="11.5" style="6" customWidth="1"/>
    <col min="11270" max="11271" width="8.6640625" style="6"/>
    <col min="11272" max="11272" width="3.25" style="6" customWidth="1"/>
    <col min="11273" max="11273" width="23.08203125" style="6" customWidth="1"/>
    <col min="11274" max="11274" width="12.6640625" style="6" bestFit="1" customWidth="1"/>
    <col min="11275" max="11275" width="12.83203125" style="6" bestFit="1" customWidth="1"/>
    <col min="11276" max="11276" width="3.6640625" style="6" customWidth="1"/>
    <col min="11277" max="11277" width="23.08203125" style="6" customWidth="1"/>
    <col min="11278" max="11278" width="12.6640625" style="6" bestFit="1" customWidth="1"/>
    <col min="11279" max="11279" width="12.83203125" style="6" bestFit="1" customWidth="1"/>
    <col min="11280" max="11521" width="8.6640625" style="6"/>
    <col min="11522" max="11522" width="11.1640625" style="6" customWidth="1"/>
    <col min="11523" max="11524" width="8.6640625" style="6"/>
    <col min="11525" max="11525" width="11.5" style="6" customWidth="1"/>
    <col min="11526" max="11527" width="8.6640625" style="6"/>
    <col min="11528" max="11528" width="3.25" style="6" customWidth="1"/>
    <col min="11529" max="11529" width="23.08203125" style="6" customWidth="1"/>
    <col min="11530" max="11530" width="12.6640625" style="6" bestFit="1" customWidth="1"/>
    <col min="11531" max="11531" width="12.83203125" style="6" bestFit="1" customWidth="1"/>
    <col min="11532" max="11532" width="3.6640625" style="6" customWidth="1"/>
    <col min="11533" max="11533" width="23.08203125" style="6" customWidth="1"/>
    <col min="11534" max="11534" width="12.6640625" style="6" bestFit="1" customWidth="1"/>
    <col min="11535" max="11535" width="12.83203125" style="6" bestFit="1" customWidth="1"/>
    <col min="11536" max="11777" width="8.6640625" style="6"/>
    <col min="11778" max="11778" width="11.1640625" style="6" customWidth="1"/>
    <col min="11779" max="11780" width="8.6640625" style="6"/>
    <col min="11781" max="11781" width="11.5" style="6" customWidth="1"/>
    <col min="11782" max="11783" width="8.6640625" style="6"/>
    <col min="11784" max="11784" width="3.25" style="6" customWidth="1"/>
    <col min="11785" max="11785" width="23.08203125" style="6" customWidth="1"/>
    <col min="11786" max="11786" width="12.6640625" style="6" bestFit="1" customWidth="1"/>
    <col min="11787" max="11787" width="12.83203125" style="6" bestFit="1" customWidth="1"/>
    <col min="11788" max="11788" width="3.6640625" style="6" customWidth="1"/>
    <col min="11789" max="11789" width="23.08203125" style="6" customWidth="1"/>
    <col min="11790" max="11790" width="12.6640625" style="6" bestFit="1" customWidth="1"/>
    <col min="11791" max="11791" width="12.83203125" style="6" bestFit="1" customWidth="1"/>
    <col min="11792" max="12033" width="8.6640625" style="6"/>
    <col min="12034" max="12034" width="11.1640625" style="6" customWidth="1"/>
    <col min="12035" max="12036" width="8.6640625" style="6"/>
    <col min="12037" max="12037" width="11.5" style="6" customWidth="1"/>
    <col min="12038" max="12039" width="8.6640625" style="6"/>
    <col min="12040" max="12040" width="3.25" style="6" customWidth="1"/>
    <col min="12041" max="12041" width="23.08203125" style="6" customWidth="1"/>
    <col min="12042" max="12042" width="12.6640625" style="6" bestFit="1" customWidth="1"/>
    <col min="12043" max="12043" width="12.83203125" style="6" bestFit="1" customWidth="1"/>
    <col min="12044" max="12044" width="3.6640625" style="6" customWidth="1"/>
    <col min="12045" max="12045" width="23.08203125" style="6" customWidth="1"/>
    <col min="12046" max="12046" width="12.6640625" style="6" bestFit="1" customWidth="1"/>
    <col min="12047" max="12047" width="12.83203125" style="6" bestFit="1" customWidth="1"/>
    <col min="12048" max="12289" width="8.6640625" style="6"/>
    <col min="12290" max="12290" width="11.1640625" style="6" customWidth="1"/>
    <col min="12291" max="12292" width="8.6640625" style="6"/>
    <col min="12293" max="12293" width="11.5" style="6" customWidth="1"/>
    <col min="12294" max="12295" width="8.6640625" style="6"/>
    <col min="12296" max="12296" width="3.25" style="6" customWidth="1"/>
    <col min="12297" max="12297" width="23.08203125" style="6" customWidth="1"/>
    <col min="12298" max="12298" width="12.6640625" style="6" bestFit="1" customWidth="1"/>
    <col min="12299" max="12299" width="12.83203125" style="6" bestFit="1" customWidth="1"/>
    <col min="12300" max="12300" width="3.6640625" style="6" customWidth="1"/>
    <col min="12301" max="12301" width="23.08203125" style="6" customWidth="1"/>
    <col min="12302" max="12302" width="12.6640625" style="6" bestFit="1" customWidth="1"/>
    <col min="12303" max="12303" width="12.83203125" style="6" bestFit="1" customWidth="1"/>
    <col min="12304" max="12545" width="8.6640625" style="6"/>
    <col min="12546" max="12546" width="11.1640625" style="6" customWidth="1"/>
    <col min="12547" max="12548" width="8.6640625" style="6"/>
    <col min="12549" max="12549" width="11.5" style="6" customWidth="1"/>
    <col min="12550" max="12551" width="8.6640625" style="6"/>
    <col min="12552" max="12552" width="3.25" style="6" customWidth="1"/>
    <col min="12553" max="12553" width="23.08203125" style="6" customWidth="1"/>
    <col min="12554" max="12554" width="12.6640625" style="6" bestFit="1" customWidth="1"/>
    <col min="12555" max="12555" width="12.83203125" style="6" bestFit="1" customWidth="1"/>
    <col min="12556" max="12556" width="3.6640625" style="6" customWidth="1"/>
    <col min="12557" max="12557" width="23.08203125" style="6" customWidth="1"/>
    <col min="12558" max="12558" width="12.6640625" style="6" bestFit="1" customWidth="1"/>
    <col min="12559" max="12559" width="12.83203125" style="6" bestFit="1" customWidth="1"/>
    <col min="12560" max="12801" width="8.6640625" style="6"/>
    <col min="12802" max="12802" width="11.1640625" style="6" customWidth="1"/>
    <col min="12803" max="12804" width="8.6640625" style="6"/>
    <col min="12805" max="12805" width="11.5" style="6" customWidth="1"/>
    <col min="12806" max="12807" width="8.6640625" style="6"/>
    <col min="12808" max="12808" width="3.25" style="6" customWidth="1"/>
    <col min="12809" max="12809" width="23.08203125" style="6" customWidth="1"/>
    <col min="12810" max="12810" width="12.6640625" style="6" bestFit="1" customWidth="1"/>
    <col min="12811" max="12811" width="12.83203125" style="6" bestFit="1" customWidth="1"/>
    <col min="12812" max="12812" width="3.6640625" style="6" customWidth="1"/>
    <col min="12813" max="12813" width="23.08203125" style="6" customWidth="1"/>
    <col min="12814" max="12814" width="12.6640625" style="6" bestFit="1" customWidth="1"/>
    <col min="12815" max="12815" width="12.83203125" style="6" bestFit="1" customWidth="1"/>
    <col min="12816" max="13057" width="8.6640625" style="6"/>
    <col min="13058" max="13058" width="11.1640625" style="6" customWidth="1"/>
    <col min="13059" max="13060" width="8.6640625" style="6"/>
    <col min="13061" max="13061" width="11.5" style="6" customWidth="1"/>
    <col min="13062" max="13063" width="8.6640625" style="6"/>
    <col min="13064" max="13064" width="3.25" style="6" customWidth="1"/>
    <col min="13065" max="13065" width="23.08203125" style="6" customWidth="1"/>
    <col min="13066" max="13066" width="12.6640625" style="6" bestFit="1" customWidth="1"/>
    <col min="13067" max="13067" width="12.83203125" style="6" bestFit="1" customWidth="1"/>
    <col min="13068" max="13068" width="3.6640625" style="6" customWidth="1"/>
    <col min="13069" max="13069" width="23.08203125" style="6" customWidth="1"/>
    <col min="13070" max="13070" width="12.6640625" style="6" bestFit="1" customWidth="1"/>
    <col min="13071" max="13071" width="12.83203125" style="6" bestFit="1" customWidth="1"/>
    <col min="13072" max="13313" width="8.6640625" style="6"/>
    <col min="13314" max="13314" width="11.1640625" style="6" customWidth="1"/>
    <col min="13315" max="13316" width="8.6640625" style="6"/>
    <col min="13317" max="13317" width="11.5" style="6" customWidth="1"/>
    <col min="13318" max="13319" width="8.6640625" style="6"/>
    <col min="13320" max="13320" width="3.25" style="6" customWidth="1"/>
    <col min="13321" max="13321" width="23.08203125" style="6" customWidth="1"/>
    <col min="13322" max="13322" width="12.6640625" style="6" bestFit="1" customWidth="1"/>
    <col min="13323" max="13323" width="12.83203125" style="6" bestFit="1" customWidth="1"/>
    <col min="13324" max="13324" width="3.6640625" style="6" customWidth="1"/>
    <col min="13325" max="13325" width="23.08203125" style="6" customWidth="1"/>
    <col min="13326" max="13326" width="12.6640625" style="6" bestFit="1" customWidth="1"/>
    <col min="13327" max="13327" width="12.83203125" style="6" bestFit="1" customWidth="1"/>
    <col min="13328" max="13569" width="8.6640625" style="6"/>
    <col min="13570" max="13570" width="11.1640625" style="6" customWidth="1"/>
    <col min="13571" max="13572" width="8.6640625" style="6"/>
    <col min="13573" max="13573" width="11.5" style="6" customWidth="1"/>
    <col min="13574" max="13575" width="8.6640625" style="6"/>
    <col min="13576" max="13576" width="3.25" style="6" customWidth="1"/>
    <col min="13577" max="13577" width="23.08203125" style="6" customWidth="1"/>
    <col min="13578" max="13578" width="12.6640625" style="6" bestFit="1" customWidth="1"/>
    <col min="13579" max="13579" width="12.83203125" style="6" bestFit="1" customWidth="1"/>
    <col min="13580" max="13580" width="3.6640625" style="6" customWidth="1"/>
    <col min="13581" max="13581" width="23.08203125" style="6" customWidth="1"/>
    <col min="13582" max="13582" width="12.6640625" style="6" bestFit="1" customWidth="1"/>
    <col min="13583" max="13583" width="12.83203125" style="6" bestFit="1" customWidth="1"/>
    <col min="13584" max="13825" width="8.6640625" style="6"/>
    <col min="13826" max="13826" width="11.1640625" style="6" customWidth="1"/>
    <col min="13827" max="13828" width="8.6640625" style="6"/>
    <col min="13829" max="13829" width="11.5" style="6" customWidth="1"/>
    <col min="13830" max="13831" width="8.6640625" style="6"/>
    <col min="13832" max="13832" width="3.25" style="6" customWidth="1"/>
    <col min="13833" max="13833" width="23.08203125" style="6" customWidth="1"/>
    <col min="13834" max="13834" width="12.6640625" style="6" bestFit="1" customWidth="1"/>
    <col min="13835" max="13835" width="12.83203125" style="6" bestFit="1" customWidth="1"/>
    <col min="13836" max="13836" width="3.6640625" style="6" customWidth="1"/>
    <col min="13837" max="13837" width="23.08203125" style="6" customWidth="1"/>
    <col min="13838" max="13838" width="12.6640625" style="6" bestFit="1" customWidth="1"/>
    <col min="13839" max="13839" width="12.83203125" style="6" bestFit="1" customWidth="1"/>
    <col min="13840" max="14081" width="8.6640625" style="6"/>
    <col min="14082" max="14082" width="11.1640625" style="6" customWidth="1"/>
    <col min="14083" max="14084" width="8.6640625" style="6"/>
    <col min="14085" max="14085" width="11.5" style="6" customWidth="1"/>
    <col min="14086" max="14087" width="8.6640625" style="6"/>
    <col min="14088" max="14088" width="3.25" style="6" customWidth="1"/>
    <col min="14089" max="14089" width="23.08203125" style="6" customWidth="1"/>
    <col min="14090" max="14090" width="12.6640625" style="6" bestFit="1" customWidth="1"/>
    <col min="14091" max="14091" width="12.83203125" style="6" bestFit="1" customWidth="1"/>
    <col min="14092" max="14092" width="3.6640625" style="6" customWidth="1"/>
    <col min="14093" max="14093" width="23.08203125" style="6" customWidth="1"/>
    <col min="14094" max="14094" width="12.6640625" style="6" bestFit="1" customWidth="1"/>
    <col min="14095" max="14095" width="12.83203125" style="6" bestFit="1" customWidth="1"/>
    <col min="14096" max="14337" width="8.6640625" style="6"/>
    <col min="14338" max="14338" width="11.1640625" style="6" customWidth="1"/>
    <col min="14339" max="14340" width="8.6640625" style="6"/>
    <col min="14341" max="14341" width="11.5" style="6" customWidth="1"/>
    <col min="14342" max="14343" width="8.6640625" style="6"/>
    <col min="14344" max="14344" width="3.25" style="6" customWidth="1"/>
    <col min="14345" max="14345" width="23.08203125" style="6" customWidth="1"/>
    <col min="14346" max="14346" width="12.6640625" style="6" bestFit="1" customWidth="1"/>
    <col min="14347" max="14347" width="12.83203125" style="6" bestFit="1" customWidth="1"/>
    <col min="14348" max="14348" width="3.6640625" style="6" customWidth="1"/>
    <col min="14349" max="14349" width="23.08203125" style="6" customWidth="1"/>
    <col min="14350" max="14350" width="12.6640625" style="6" bestFit="1" customWidth="1"/>
    <col min="14351" max="14351" width="12.83203125" style="6" bestFit="1" customWidth="1"/>
    <col min="14352" max="14593" width="8.6640625" style="6"/>
    <col min="14594" max="14594" width="11.1640625" style="6" customWidth="1"/>
    <col min="14595" max="14596" width="8.6640625" style="6"/>
    <col min="14597" max="14597" width="11.5" style="6" customWidth="1"/>
    <col min="14598" max="14599" width="8.6640625" style="6"/>
    <col min="14600" max="14600" width="3.25" style="6" customWidth="1"/>
    <col min="14601" max="14601" width="23.08203125" style="6" customWidth="1"/>
    <col min="14602" max="14602" width="12.6640625" style="6" bestFit="1" customWidth="1"/>
    <col min="14603" max="14603" width="12.83203125" style="6" bestFit="1" customWidth="1"/>
    <col min="14604" max="14604" width="3.6640625" style="6" customWidth="1"/>
    <col min="14605" max="14605" width="23.08203125" style="6" customWidth="1"/>
    <col min="14606" max="14606" width="12.6640625" style="6" bestFit="1" customWidth="1"/>
    <col min="14607" max="14607" width="12.83203125" style="6" bestFit="1" customWidth="1"/>
    <col min="14608" max="14849" width="8.6640625" style="6"/>
    <col min="14850" max="14850" width="11.1640625" style="6" customWidth="1"/>
    <col min="14851" max="14852" width="8.6640625" style="6"/>
    <col min="14853" max="14853" width="11.5" style="6" customWidth="1"/>
    <col min="14854" max="14855" width="8.6640625" style="6"/>
    <col min="14856" max="14856" width="3.25" style="6" customWidth="1"/>
    <col min="14857" max="14857" width="23.08203125" style="6" customWidth="1"/>
    <col min="14858" max="14858" width="12.6640625" style="6" bestFit="1" customWidth="1"/>
    <col min="14859" max="14859" width="12.83203125" style="6" bestFit="1" customWidth="1"/>
    <col min="14860" max="14860" width="3.6640625" style="6" customWidth="1"/>
    <col min="14861" max="14861" width="23.08203125" style="6" customWidth="1"/>
    <col min="14862" max="14862" width="12.6640625" style="6" bestFit="1" customWidth="1"/>
    <col min="14863" max="14863" width="12.83203125" style="6" bestFit="1" customWidth="1"/>
    <col min="14864" max="15105" width="8.6640625" style="6"/>
    <col min="15106" max="15106" width="11.1640625" style="6" customWidth="1"/>
    <col min="15107" max="15108" width="8.6640625" style="6"/>
    <col min="15109" max="15109" width="11.5" style="6" customWidth="1"/>
    <col min="15110" max="15111" width="8.6640625" style="6"/>
    <col min="15112" max="15112" width="3.25" style="6" customWidth="1"/>
    <col min="15113" max="15113" width="23.08203125" style="6" customWidth="1"/>
    <col min="15114" max="15114" width="12.6640625" style="6" bestFit="1" customWidth="1"/>
    <col min="15115" max="15115" width="12.83203125" style="6" bestFit="1" customWidth="1"/>
    <col min="15116" max="15116" width="3.6640625" style="6" customWidth="1"/>
    <col min="15117" max="15117" width="23.08203125" style="6" customWidth="1"/>
    <col min="15118" max="15118" width="12.6640625" style="6" bestFit="1" customWidth="1"/>
    <col min="15119" max="15119" width="12.83203125" style="6" bestFit="1" customWidth="1"/>
    <col min="15120" max="15361" width="8.6640625" style="6"/>
    <col min="15362" max="15362" width="11.1640625" style="6" customWidth="1"/>
    <col min="15363" max="15364" width="8.6640625" style="6"/>
    <col min="15365" max="15365" width="11.5" style="6" customWidth="1"/>
    <col min="15366" max="15367" width="8.6640625" style="6"/>
    <col min="15368" max="15368" width="3.25" style="6" customWidth="1"/>
    <col min="15369" max="15369" width="23.08203125" style="6" customWidth="1"/>
    <col min="15370" max="15370" width="12.6640625" style="6" bestFit="1" customWidth="1"/>
    <col min="15371" max="15371" width="12.83203125" style="6" bestFit="1" customWidth="1"/>
    <col min="15372" max="15372" width="3.6640625" style="6" customWidth="1"/>
    <col min="15373" max="15373" width="23.08203125" style="6" customWidth="1"/>
    <col min="15374" max="15374" width="12.6640625" style="6" bestFit="1" customWidth="1"/>
    <col min="15375" max="15375" width="12.83203125" style="6" bestFit="1" customWidth="1"/>
    <col min="15376" max="15617" width="8.6640625" style="6"/>
    <col min="15618" max="15618" width="11.1640625" style="6" customWidth="1"/>
    <col min="15619" max="15620" width="8.6640625" style="6"/>
    <col min="15621" max="15621" width="11.5" style="6" customWidth="1"/>
    <col min="15622" max="15623" width="8.6640625" style="6"/>
    <col min="15624" max="15624" width="3.25" style="6" customWidth="1"/>
    <col min="15625" max="15625" width="23.08203125" style="6" customWidth="1"/>
    <col min="15626" max="15626" width="12.6640625" style="6" bestFit="1" customWidth="1"/>
    <col min="15627" max="15627" width="12.83203125" style="6" bestFit="1" customWidth="1"/>
    <col min="15628" max="15628" width="3.6640625" style="6" customWidth="1"/>
    <col min="15629" max="15629" width="23.08203125" style="6" customWidth="1"/>
    <col min="15630" max="15630" width="12.6640625" style="6" bestFit="1" customWidth="1"/>
    <col min="15631" max="15631" width="12.83203125" style="6" bestFit="1" customWidth="1"/>
    <col min="15632" max="15873" width="8.6640625" style="6"/>
    <col min="15874" max="15874" width="11.1640625" style="6" customWidth="1"/>
    <col min="15875" max="15876" width="8.6640625" style="6"/>
    <col min="15877" max="15877" width="11.5" style="6" customWidth="1"/>
    <col min="15878" max="15879" width="8.6640625" style="6"/>
    <col min="15880" max="15880" width="3.25" style="6" customWidth="1"/>
    <col min="15881" max="15881" width="23.08203125" style="6" customWidth="1"/>
    <col min="15882" max="15882" width="12.6640625" style="6" bestFit="1" customWidth="1"/>
    <col min="15883" max="15883" width="12.83203125" style="6" bestFit="1" customWidth="1"/>
    <col min="15884" max="15884" width="3.6640625" style="6" customWidth="1"/>
    <col min="15885" max="15885" width="23.08203125" style="6" customWidth="1"/>
    <col min="15886" max="15886" width="12.6640625" style="6" bestFit="1" customWidth="1"/>
    <col min="15887" max="15887" width="12.83203125" style="6" bestFit="1" customWidth="1"/>
    <col min="15888" max="16129" width="8.6640625" style="6"/>
    <col min="16130" max="16130" width="11.1640625" style="6" customWidth="1"/>
    <col min="16131" max="16132" width="8.6640625" style="6"/>
    <col min="16133" max="16133" width="11.5" style="6" customWidth="1"/>
    <col min="16134" max="16135" width="8.6640625" style="6"/>
    <col min="16136" max="16136" width="3.25" style="6" customWidth="1"/>
    <col min="16137" max="16137" width="23.08203125" style="6" customWidth="1"/>
    <col min="16138" max="16138" width="12.6640625" style="6" bestFit="1" customWidth="1"/>
    <col min="16139" max="16139" width="12.83203125" style="6" bestFit="1" customWidth="1"/>
    <col min="16140" max="16140" width="3.6640625" style="6" customWidth="1"/>
    <col min="16141" max="16141" width="23.08203125" style="6" customWidth="1"/>
    <col min="16142" max="16142" width="12.6640625" style="6" bestFit="1" customWidth="1"/>
    <col min="16143" max="16143" width="12.83203125" style="6" bestFit="1" customWidth="1"/>
    <col min="16144" max="16384" width="8.6640625" style="6"/>
  </cols>
  <sheetData>
    <row r="1" spans="1:35" x14ac:dyDescent="0.3">
      <c r="A1" s="84" t="s">
        <v>46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3">
      <c r="A2" s="84" t="s">
        <v>47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x14ac:dyDescent="0.3">
      <c r="A3" s="84" t="s">
        <v>48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x14ac:dyDescent="0.3">
      <c r="A4" s="85" t="s">
        <v>49</v>
      </c>
      <c r="B4" s="85" t="s">
        <v>50</v>
      </c>
      <c r="C4" s="71" t="s">
        <v>51</v>
      </c>
      <c r="D4" s="71"/>
      <c r="E4" s="85" t="s">
        <v>50</v>
      </c>
      <c r="F4" s="7" t="s">
        <v>52</v>
      </c>
      <c r="G4" s="7"/>
      <c r="I4" s="87" t="s">
        <v>53</v>
      </c>
      <c r="J4" s="87"/>
      <c r="K4" s="87"/>
    </row>
    <row r="5" spans="1:35" x14ac:dyDescent="0.3">
      <c r="A5" s="86"/>
      <c r="B5" s="86"/>
      <c r="C5" s="8" t="s">
        <v>54</v>
      </c>
      <c r="D5" s="8" t="s">
        <v>55</v>
      </c>
      <c r="E5" s="86"/>
      <c r="F5" s="8" t="s">
        <v>54</v>
      </c>
      <c r="G5" s="8" t="s">
        <v>55</v>
      </c>
      <c r="H5" s="9"/>
      <c r="I5" s="10"/>
      <c r="J5" s="11" t="s">
        <v>51</v>
      </c>
      <c r="K5" s="11" t="s">
        <v>52</v>
      </c>
    </row>
    <row r="6" spans="1:35" x14ac:dyDescent="0.3">
      <c r="A6" s="81" t="s">
        <v>58</v>
      </c>
      <c r="B6" s="12" t="s">
        <v>8</v>
      </c>
      <c r="C6" s="11">
        <v>9</v>
      </c>
      <c r="D6" s="11" t="s">
        <v>7</v>
      </c>
      <c r="E6" s="13" t="s">
        <v>56</v>
      </c>
      <c r="F6" s="11">
        <v>9</v>
      </c>
      <c r="G6" s="11" t="s">
        <v>7</v>
      </c>
      <c r="H6" s="14"/>
      <c r="I6" s="10" t="s">
        <v>57</v>
      </c>
      <c r="J6" s="11">
        <v>2</v>
      </c>
      <c r="K6" s="11">
        <v>2</v>
      </c>
    </row>
    <row r="7" spans="1:35" x14ac:dyDescent="0.3">
      <c r="A7" s="82"/>
      <c r="B7" s="12" t="s">
        <v>59</v>
      </c>
      <c r="C7" s="11">
        <v>9</v>
      </c>
      <c r="D7" s="11">
        <v>18</v>
      </c>
      <c r="E7" s="12" t="s">
        <v>60</v>
      </c>
      <c r="F7" s="11">
        <v>9</v>
      </c>
      <c r="G7" s="11">
        <v>18</v>
      </c>
      <c r="I7" s="10" t="s">
        <v>61</v>
      </c>
      <c r="J7" s="11">
        <v>5</v>
      </c>
      <c r="K7" s="11">
        <v>5</v>
      </c>
    </row>
    <row r="8" spans="1:35" ht="16.5" customHeight="1" x14ac:dyDescent="0.3">
      <c r="A8" s="82"/>
      <c r="B8" s="12" t="s">
        <v>62</v>
      </c>
      <c r="C8" s="11">
        <v>9</v>
      </c>
      <c r="D8" s="11">
        <v>18</v>
      </c>
      <c r="E8" s="12" t="s">
        <v>63</v>
      </c>
      <c r="F8" s="11">
        <v>9</v>
      </c>
      <c r="G8" s="11">
        <v>18</v>
      </c>
      <c r="I8" s="10" t="s">
        <v>64</v>
      </c>
      <c r="J8" s="11">
        <v>216</v>
      </c>
      <c r="K8" s="11">
        <v>216</v>
      </c>
    </row>
    <row r="9" spans="1:35" x14ac:dyDescent="0.3">
      <c r="A9" s="82"/>
      <c r="B9" s="12" t="s">
        <v>65</v>
      </c>
      <c r="C9" s="11">
        <v>6</v>
      </c>
      <c r="D9" s="11" t="s">
        <v>7</v>
      </c>
      <c r="E9" s="12" t="s">
        <v>66</v>
      </c>
      <c r="F9" s="11">
        <v>9</v>
      </c>
      <c r="G9" s="11">
        <v>18</v>
      </c>
      <c r="I9" s="10" t="s">
        <v>67</v>
      </c>
      <c r="J9" s="11">
        <f>C28-(SUM(J6:J8))</f>
        <v>61</v>
      </c>
      <c r="K9" s="11">
        <f>F28-(SUM(K6:K8))</f>
        <v>103</v>
      </c>
    </row>
    <row r="10" spans="1:35" ht="28" x14ac:dyDescent="0.3">
      <c r="A10" s="82"/>
      <c r="B10" s="15" t="s">
        <v>68</v>
      </c>
      <c r="C10" s="11">
        <v>6</v>
      </c>
      <c r="D10" s="11">
        <v>18</v>
      </c>
      <c r="E10" s="12" t="s">
        <v>65</v>
      </c>
      <c r="F10" s="11">
        <v>6</v>
      </c>
      <c r="G10" s="11" t="s">
        <v>7</v>
      </c>
      <c r="I10" s="16" t="s">
        <v>69</v>
      </c>
      <c r="J10" s="17">
        <f>(J9/18)</f>
        <v>3.3888888888888888</v>
      </c>
      <c r="K10" s="17">
        <f>(K9/18)</f>
        <v>5.7222222222222223</v>
      </c>
    </row>
    <row r="11" spans="1:35" x14ac:dyDescent="0.3">
      <c r="A11" s="82"/>
      <c r="B11" s="12" t="s">
        <v>70</v>
      </c>
      <c r="C11" s="11" t="s">
        <v>7</v>
      </c>
      <c r="D11" s="11" t="s">
        <v>7</v>
      </c>
      <c r="E11" s="12" t="s">
        <v>71</v>
      </c>
      <c r="F11" s="11" t="s">
        <v>7</v>
      </c>
      <c r="G11" s="11" t="s">
        <v>7</v>
      </c>
      <c r="I11" s="18" t="s">
        <v>72</v>
      </c>
      <c r="J11" s="19">
        <v>12</v>
      </c>
      <c r="K11" s="19">
        <v>12</v>
      </c>
    </row>
    <row r="12" spans="1:35" ht="29.4" customHeight="1" x14ac:dyDescent="0.3">
      <c r="A12" s="83"/>
      <c r="B12" s="15" t="s">
        <v>73</v>
      </c>
      <c r="C12" s="11" t="s">
        <v>7</v>
      </c>
      <c r="D12" s="11" t="s">
        <v>7</v>
      </c>
      <c r="E12" s="15" t="s">
        <v>74</v>
      </c>
      <c r="F12" s="11" t="s">
        <v>7</v>
      </c>
      <c r="G12" s="11" t="s">
        <v>7</v>
      </c>
      <c r="I12" s="20" t="s">
        <v>75</v>
      </c>
    </row>
    <row r="13" spans="1:35" ht="15.5" x14ac:dyDescent="0.35">
      <c r="A13" s="78" t="s">
        <v>76</v>
      </c>
      <c r="B13" s="3" t="s">
        <v>77</v>
      </c>
      <c r="C13" s="21">
        <v>9</v>
      </c>
      <c r="D13" s="21" t="s">
        <v>7</v>
      </c>
      <c r="E13" s="22" t="s">
        <v>78</v>
      </c>
      <c r="F13" s="23">
        <v>9</v>
      </c>
      <c r="G13" s="23">
        <v>24</v>
      </c>
      <c r="I13" s="6" t="s">
        <v>79</v>
      </c>
    </row>
    <row r="14" spans="1:35" ht="15.5" x14ac:dyDescent="0.35">
      <c r="A14" s="78"/>
      <c r="B14" s="3" t="s">
        <v>80</v>
      </c>
      <c r="C14" s="21">
        <v>9</v>
      </c>
      <c r="D14" s="21" t="s">
        <v>7</v>
      </c>
      <c r="E14" s="24" t="s">
        <v>81</v>
      </c>
      <c r="F14" s="23">
        <v>9</v>
      </c>
      <c r="G14" s="23">
        <v>24</v>
      </c>
      <c r="I14" s="6" t="s">
        <v>82</v>
      </c>
    </row>
    <row r="15" spans="1:35" ht="15.5" x14ac:dyDescent="0.35">
      <c r="A15" s="78"/>
      <c r="B15" s="3" t="s">
        <v>9</v>
      </c>
      <c r="C15" s="21">
        <v>9</v>
      </c>
      <c r="D15" s="23">
        <v>24</v>
      </c>
      <c r="E15" s="24" t="s">
        <v>83</v>
      </c>
      <c r="F15" s="23">
        <v>9</v>
      </c>
      <c r="G15" s="23">
        <v>24</v>
      </c>
      <c r="I15" s="6" t="s">
        <v>84</v>
      </c>
    </row>
    <row r="16" spans="1:35" ht="15.5" x14ac:dyDescent="0.35">
      <c r="A16" s="78"/>
      <c r="B16" s="3" t="s">
        <v>10</v>
      </c>
      <c r="C16" s="21">
        <v>9</v>
      </c>
      <c r="D16" s="23">
        <v>24</v>
      </c>
      <c r="E16" s="24" t="s">
        <v>85</v>
      </c>
      <c r="F16" s="23">
        <v>9</v>
      </c>
      <c r="G16" s="23">
        <v>24</v>
      </c>
      <c r="I16" s="6" t="s">
        <v>86</v>
      </c>
    </row>
    <row r="17" spans="1:9" ht="15.5" x14ac:dyDescent="0.35">
      <c r="A17" s="78"/>
      <c r="B17" s="3" t="s">
        <v>87</v>
      </c>
      <c r="C17" s="21">
        <v>9</v>
      </c>
      <c r="D17" s="21" t="s">
        <v>7</v>
      </c>
      <c r="E17" s="24" t="s">
        <v>88</v>
      </c>
      <c r="F17" s="23">
        <v>9</v>
      </c>
      <c r="G17" s="23" t="s">
        <v>7</v>
      </c>
      <c r="I17" s="6" t="s">
        <v>104</v>
      </c>
    </row>
    <row r="18" spans="1:9" ht="15.5" x14ac:dyDescent="0.35">
      <c r="A18" s="78"/>
      <c r="B18" s="3" t="s">
        <v>11</v>
      </c>
      <c r="C18" s="21" t="s">
        <v>7</v>
      </c>
      <c r="D18" s="23">
        <v>24</v>
      </c>
      <c r="E18" s="24" t="s">
        <v>105</v>
      </c>
      <c r="F18" s="23" t="s">
        <v>7</v>
      </c>
      <c r="G18" s="23">
        <v>24</v>
      </c>
      <c r="I18" s="6" t="s">
        <v>106</v>
      </c>
    </row>
    <row r="19" spans="1:9" ht="15.5" x14ac:dyDescent="0.35">
      <c r="A19" s="78" t="s">
        <v>89</v>
      </c>
      <c r="B19" s="25" t="s">
        <v>13</v>
      </c>
      <c r="C19" s="26">
        <v>3</v>
      </c>
      <c r="D19" s="26">
        <v>6</v>
      </c>
      <c r="E19" s="27" t="s">
        <v>90</v>
      </c>
      <c r="F19" s="28">
        <v>3</v>
      </c>
      <c r="G19" s="28">
        <v>6</v>
      </c>
    </row>
    <row r="20" spans="1:9" ht="15.5" x14ac:dyDescent="0.35">
      <c r="A20" s="78"/>
      <c r="B20" s="25" t="s">
        <v>14</v>
      </c>
      <c r="C20" s="26">
        <v>3</v>
      </c>
      <c r="D20" s="26">
        <v>6</v>
      </c>
      <c r="E20" s="27" t="s">
        <v>91</v>
      </c>
      <c r="F20" s="26">
        <v>3</v>
      </c>
      <c r="G20" s="26">
        <v>6</v>
      </c>
    </row>
    <row r="21" spans="1:9" ht="15.5" x14ac:dyDescent="0.35">
      <c r="A21" s="78"/>
      <c r="B21" s="25" t="s">
        <v>15</v>
      </c>
      <c r="C21" s="26">
        <v>3</v>
      </c>
      <c r="D21" s="26">
        <v>6</v>
      </c>
      <c r="E21" s="27" t="s">
        <v>92</v>
      </c>
      <c r="F21" s="26">
        <v>3</v>
      </c>
      <c r="G21" s="26">
        <v>6</v>
      </c>
    </row>
    <row r="22" spans="1:9" ht="15.5" x14ac:dyDescent="0.35">
      <c r="A22" s="78"/>
      <c r="B22" s="25" t="s">
        <v>16</v>
      </c>
      <c r="C22" s="26">
        <v>3</v>
      </c>
      <c r="D22" s="26">
        <v>6</v>
      </c>
      <c r="E22" s="27" t="s">
        <v>93</v>
      </c>
      <c r="F22" s="29">
        <v>3</v>
      </c>
      <c r="G22" s="28" t="s">
        <v>7</v>
      </c>
    </row>
    <row r="23" spans="1:9" ht="15.5" x14ac:dyDescent="0.35">
      <c r="A23" s="78"/>
      <c r="B23" s="25" t="s">
        <v>17</v>
      </c>
      <c r="C23" s="26">
        <v>3</v>
      </c>
      <c r="D23" s="26" t="s">
        <v>7</v>
      </c>
      <c r="E23" s="29" t="s">
        <v>7</v>
      </c>
      <c r="F23" s="29" t="s">
        <v>7</v>
      </c>
      <c r="G23" s="29" t="s">
        <v>7</v>
      </c>
    </row>
    <row r="24" spans="1:9" ht="15.5" x14ac:dyDescent="0.35">
      <c r="A24" s="30" t="s">
        <v>94</v>
      </c>
      <c r="B24" s="31" t="s">
        <v>94</v>
      </c>
      <c r="C24" s="26">
        <v>3</v>
      </c>
      <c r="D24" s="26">
        <v>2</v>
      </c>
      <c r="E24" s="29" t="s">
        <v>94</v>
      </c>
      <c r="F24" s="29">
        <v>3</v>
      </c>
      <c r="G24" s="29">
        <v>2</v>
      </c>
    </row>
    <row r="25" spans="1:9" ht="18" customHeight="1" x14ac:dyDescent="0.3">
      <c r="A25" s="79" t="s">
        <v>30</v>
      </c>
      <c r="B25" s="80"/>
      <c r="C25" s="11">
        <f>SUM(C6:C24)</f>
        <v>102</v>
      </c>
      <c r="D25" s="11">
        <f>SUM(D6:D24)</f>
        <v>152</v>
      </c>
      <c r="E25" s="12"/>
      <c r="F25" s="11">
        <f>SUM(F6:F24)</f>
        <v>102</v>
      </c>
      <c r="G25" s="11">
        <f>SUM(G6:G24)</f>
        <v>194</v>
      </c>
    </row>
    <row r="26" spans="1:9" x14ac:dyDescent="0.3">
      <c r="A26" s="74" t="s">
        <v>95</v>
      </c>
      <c r="B26" s="75"/>
      <c r="C26" s="71">
        <f>SUM(C25:D25)</f>
        <v>254</v>
      </c>
      <c r="D26" s="71"/>
      <c r="E26" s="7"/>
      <c r="F26" s="71">
        <f>SUM(F25:G25)</f>
        <v>296</v>
      </c>
      <c r="G26" s="71"/>
    </row>
    <row r="27" spans="1:9" x14ac:dyDescent="0.3">
      <c r="A27" s="72" t="s">
        <v>96</v>
      </c>
      <c r="B27" s="73"/>
      <c r="C27" s="11">
        <v>20</v>
      </c>
      <c r="D27" s="11">
        <v>10</v>
      </c>
      <c r="E27" s="11"/>
      <c r="F27" s="11">
        <v>20</v>
      </c>
      <c r="G27" s="11">
        <v>10</v>
      </c>
    </row>
    <row r="28" spans="1:9" x14ac:dyDescent="0.3">
      <c r="A28" s="74" t="s">
        <v>97</v>
      </c>
      <c r="B28" s="75"/>
      <c r="C28" s="76">
        <f>SUM(C26:D27)</f>
        <v>284</v>
      </c>
      <c r="D28" s="77"/>
      <c r="E28" s="7"/>
      <c r="F28" s="76">
        <f>SUM(F26:G27)</f>
        <v>326</v>
      </c>
      <c r="G28" s="77"/>
    </row>
  </sheetData>
  <mergeCells count="19">
    <mergeCell ref="A6:A12"/>
    <mergeCell ref="A1:L1"/>
    <mergeCell ref="A2:L2"/>
    <mergeCell ref="A3:L3"/>
    <mergeCell ref="A4:A5"/>
    <mergeCell ref="B4:B5"/>
    <mergeCell ref="C4:D4"/>
    <mergeCell ref="E4:E5"/>
    <mergeCell ref="I4:K4"/>
    <mergeCell ref="A13:A18"/>
    <mergeCell ref="A19:A23"/>
    <mergeCell ref="A25:B25"/>
    <mergeCell ref="A26:B26"/>
    <mergeCell ref="C26:D26"/>
    <mergeCell ref="F26:G26"/>
    <mergeCell ref="A27:B27"/>
    <mergeCell ref="A28:B28"/>
    <mergeCell ref="C28:D28"/>
    <mergeCell ref="F28:G28"/>
  </mergeCells>
  <pageMargins left="0.35433070866141736" right="0.55118110236220474" top="0.51181102362204722" bottom="0.31496062992125984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C3EE-398B-4E6A-8673-C8E8D9156CDB}">
  <sheetPr>
    <pageSetUpPr fitToPage="1"/>
  </sheetPr>
  <dimension ref="A1:AQ1010"/>
  <sheetViews>
    <sheetView tabSelected="1" view="pageBreakPreview" zoomScale="57" zoomScaleNormal="80" zoomScaleSheetLayoutView="130" workbookViewId="0">
      <selection activeCell="AB14" sqref="AB14"/>
    </sheetView>
  </sheetViews>
  <sheetFormatPr defaultColWidth="12.58203125" defaultRowHeight="15.5" x14ac:dyDescent="0.35"/>
  <cols>
    <col min="1" max="1" width="14.33203125" style="33" customWidth="1"/>
    <col min="2" max="2" width="9.75" style="33" customWidth="1"/>
    <col min="3" max="3" width="7.83203125" style="33" customWidth="1"/>
    <col min="4" max="4" width="8" style="33" customWidth="1"/>
    <col min="5" max="5" width="7.58203125" style="33" customWidth="1"/>
    <col min="6" max="6" width="4.6640625" style="33" bestFit="1" customWidth="1"/>
    <col min="7" max="7" width="3.6640625" style="33" customWidth="1"/>
    <col min="8" max="8" width="3.08203125" style="33" customWidth="1"/>
    <col min="9" max="9" width="4.6640625" style="33" customWidth="1"/>
    <col min="10" max="10" width="3.1640625" style="33" customWidth="1"/>
    <col min="11" max="11" width="3.6640625" style="33" customWidth="1"/>
    <col min="12" max="13" width="4" style="33" customWidth="1"/>
    <col min="14" max="20" width="3.58203125" style="33" customWidth="1"/>
    <col min="21" max="21" width="4" style="33" customWidth="1"/>
    <col min="22" max="22" width="3.58203125" style="33" customWidth="1"/>
    <col min="23" max="23" width="3.83203125" style="33" customWidth="1"/>
    <col min="24" max="25" width="4" style="33" customWidth="1"/>
    <col min="26" max="28" width="3.83203125" style="33" customWidth="1"/>
    <col min="29" max="29" width="3.5" style="33" customWidth="1"/>
    <col min="30" max="31" width="3" style="33" customWidth="1"/>
    <col min="32" max="32" width="3.83203125" style="33" customWidth="1"/>
    <col min="33" max="33" width="3.4140625" style="33" customWidth="1"/>
    <col min="34" max="34" width="3.83203125" style="33" customWidth="1"/>
    <col min="35" max="35" width="3.4140625" style="33" customWidth="1"/>
    <col min="36" max="37" width="4" style="33" customWidth="1"/>
    <col min="38" max="38" width="3.1640625" style="33" customWidth="1"/>
    <col min="39" max="39" width="3" style="33" customWidth="1"/>
    <col min="40" max="40" width="3.25" style="33" customWidth="1"/>
    <col min="41" max="41" width="3.58203125" style="33" customWidth="1"/>
    <col min="42" max="42" width="4.6640625" style="33" customWidth="1"/>
    <col min="43" max="43" width="7.58203125" style="33" customWidth="1"/>
    <col min="44" max="16384" width="12.58203125" style="33"/>
  </cols>
  <sheetData>
    <row r="1" spans="1:42" ht="18" customHeight="1" x14ac:dyDescent="0.3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34"/>
      <c r="AN1" s="34"/>
      <c r="AO1" s="34"/>
    </row>
    <row r="2" spans="1:42" ht="15" customHeight="1" x14ac:dyDescent="0.35">
      <c r="A2" s="109" t="s">
        <v>19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34"/>
      <c r="AN2" s="34"/>
      <c r="AO2" s="34" t="s">
        <v>111</v>
      </c>
    </row>
    <row r="3" spans="1:42" ht="13.5" customHeight="1" x14ac:dyDescent="0.35">
      <c r="A3" s="107" t="s">
        <v>45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34"/>
      <c r="AN3" s="34"/>
      <c r="AO3" s="34"/>
    </row>
    <row r="4" spans="1:42" ht="13.5" customHeight="1" x14ac:dyDescent="0.35">
      <c r="A4" s="4"/>
      <c r="AM4" s="34"/>
      <c r="AN4" s="34"/>
      <c r="AO4" s="34"/>
    </row>
    <row r="5" spans="1:42" ht="13.5" customHeight="1" x14ac:dyDescent="0.3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34"/>
      <c r="AN5" s="34"/>
      <c r="AO5" s="34"/>
    </row>
    <row r="6" spans="1:42" ht="16.5" customHeight="1" x14ac:dyDescent="0.35">
      <c r="A6" s="110" t="s">
        <v>20</v>
      </c>
      <c r="B6" s="104"/>
      <c r="C6" s="111" t="s">
        <v>1</v>
      </c>
      <c r="D6" s="112"/>
      <c r="E6" s="113"/>
      <c r="F6" s="103" t="s">
        <v>21</v>
      </c>
      <c r="G6" s="104"/>
      <c r="H6" s="103" t="s">
        <v>22</v>
      </c>
      <c r="I6" s="104"/>
      <c r="J6" s="103" t="s">
        <v>23</v>
      </c>
      <c r="K6" s="104"/>
      <c r="L6" s="103" t="s">
        <v>24</v>
      </c>
      <c r="M6" s="104"/>
      <c r="N6" s="103" t="s">
        <v>36</v>
      </c>
      <c r="O6" s="104"/>
      <c r="P6" s="103" t="s">
        <v>37</v>
      </c>
      <c r="Q6" s="104"/>
      <c r="R6" s="103" t="s">
        <v>38</v>
      </c>
      <c r="S6" s="104"/>
      <c r="T6" s="103" t="s">
        <v>43</v>
      </c>
      <c r="U6" s="104"/>
      <c r="V6" s="103" t="s">
        <v>98</v>
      </c>
      <c r="W6" s="104"/>
      <c r="X6" s="103" t="s">
        <v>99</v>
      </c>
      <c r="Y6" s="104"/>
      <c r="Z6" s="103" t="s">
        <v>100</v>
      </c>
      <c r="AA6" s="104"/>
      <c r="AB6" s="103" t="s">
        <v>103</v>
      </c>
      <c r="AC6" s="104"/>
      <c r="AD6" s="103" t="s">
        <v>107</v>
      </c>
      <c r="AE6" s="104"/>
      <c r="AF6" s="103" t="s">
        <v>112</v>
      </c>
      <c r="AG6" s="104"/>
      <c r="AH6" s="103" t="s">
        <v>114</v>
      </c>
      <c r="AI6" s="104"/>
      <c r="AJ6" s="103" t="s">
        <v>115</v>
      </c>
      <c r="AK6" s="104"/>
      <c r="AL6" s="103" t="s">
        <v>40</v>
      </c>
      <c r="AM6" s="104"/>
      <c r="AN6" s="103" t="s">
        <v>41</v>
      </c>
      <c r="AO6" s="104"/>
      <c r="AP6" s="114" t="s">
        <v>2</v>
      </c>
    </row>
    <row r="7" spans="1:42" ht="105" customHeight="1" x14ac:dyDescent="0.35">
      <c r="A7" s="105"/>
      <c r="B7" s="106"/>
      <c r="C7" s="35" t="s">
        <v>3</v>
      </c>
      <c r="D7" s="36" t="s">
        <v>4</v>
      </c>
      <c r="E7" s="36" t="s">
        <v>5</v>
      </c>
      <c r="F7" s="105"/>
      <c r="G7" s="106"/>
      <c r="H7" s="105"/>
      <c r="I7" s="106"/>
      <c r="J7" s="105"/>
      <c r="K7" s="106"/>
      <c r="L7" s="105"/>
      <c r="M7" s="106"/>
      <c r="N7" s="105"/>
      <c r="O7" s="106"/>
      <c r="P7" s="105"/>
      <c r="Q7" s="106"/>
      <c r="R7" s="105"/>
      <c r="S7" s="106"/>
      <c r="T7" s="105"/>
      <c r="U7" s="106"/>
      <c r="V7" s="105"/>
      <c r="W7" s="106"/>
      <c r="X7" s="105"/>
      <c r="Y7" s="106"/>
      <c r="Z7" s="105"/>
      <c r="AA7" s="106"/>
      <c r="AB7" s="105"/>
      <c r="AC7" s="106"/>
      <c r="AD7" s="105"/>
      <c r="AE7" s="106"/>
      <c r="AF7" s="105"/>
      <c r="AG7" s="106"/>
      <c r="AH7" s="105"/>
      <c r="AI7" s="106"/>
      <c r="AJ7" s="105"/>
      <c r="AK7" s="106"/>
      <c r="AL7" s="105"/>
      <c r="AM7" s="106"/>
      <c r="AN7" s="105"/>
      <c r="AO7" s="106"/>
      <c r="AP7" s="115"/>
    </row>
    <row r="8" spans="1:42" ht="14.25" customHeight="1" x14ac:dyDescent="0.35">
      <c r="A8" s="37"/>
      <c r="B8" s="38"/>
      <c r="C8" s="39"/>
      <c r="D8" s="24"/>
      <c r="E8" s="24"/>
      <c r="F8" s="40" t="s">
        <v>25</v>
      </c>
      <c r="G8" s="40" t="s">
        <v>26</v>
      </c>
      <c r="H8" s="40" t="s">
        <v>25</v>
      </c>
      <c r="I8" s="40" t="s">
        <v>26</v>
      </c>
      <c r="J8" s="40" t="s">
        <v>25</v>
      </c>
      <c r="K8" s="40" t="s">
        <v>26</v>
      </c>
      <c r="L8" s="40" t="s">
        <v>25</v>
      </c>
      <c r="M8" s="40" t="s">
        <v>26</v>
      </c>
      <c r="N8" s="40" t="s">
        <v>25</v>
      </c>
      <c r="O8" s="40" t="s">
        <v>26</v>
      </c>
      <c r="P8" s="40" t="s">
        <v>25</v>
      </c>
      <c r="Q8" s="40" t="s">
        <v>26</v>
      </c>
      <c r="R8" s="40" t="s">
        <v>25</v>
      </c>
      <c r="S8" s="40" t="s">
        <v>26</v>
      </c>
      <c r="T8" s="40" t="s">
        <v>25</v>
      </c>
      <c r="U8" s="40" t="s">
        <v>26</v>
      </c>
      <c r="V8" s="40" t="s">
        <v>25</v>
      </c>
      <c r="W8" s="40" t="s">
        <v>26</v>
      </c>
      <c r="X8" s="40" t="s">
        <v>25</v>
      </c>
      <c r="Y8" s="40" t="s">
        <v>26</v>
      </c>
      <c r="Z8" s="40" t="s">
        <v>25</v>
      </c>
      <c r="AA8" s="40" t="s">
        <v>26</v>
      </c>
      <c r="AB8" s="40" t="s">
        <v>25</v>
      </c>
      <c r="AC8" s="40" t="s">
        <v>26</v>
      </c>
      <c r="AD8" s="40" t="s">
        <v>25</v>
      </c>
      <c r="AE8" s="40" t="s">
        <v>26</v>
      </c>
      <c r="AF8" s="40" t="s">
        <v>25</v>
      </c>
      <c r="AG8" s="40" t="s">
        <v>26</v>
      </c>
      <c r="AH8" s="40" t="s">
        <v>25</v>
      </c>
      <c r="AI8" s="40" t="s">
        <v>26</v>
      </c>
      <c r="AJ8" s="40" t="s">
        <v>25</v>
      </c>
      <c r="AK8" s="40" t="s">
        <v>26</v>
      </c>
      <c r="AL8" s="40" t="s">
        <v>25</v>
      </c>
      <c r="AM8" s="40" t="s">
        <v>26</v>
      </c>
      <c r="AN8" s="40" t="s">
        <v>25</v>
      </c>
      <c r="AO8" s="40" t="s">
        <v>26</v>
      </c>
      <c r="AP8" s="40"/>
    </row>
    <row r="9" spans="1:42" ht="14.25" customHeight="1" x14ac:dyDescent="0.35">
      <c r="A9" s="92" t="s">
        <v>27</v>
      </c>
      <c r="B9" s="3" t="s">
        <v>6</v>
      </c>
      <c r="C9" s="21">
        <v>6</v>
      </c>
      <c r="D9" s="21" t="s">
        <v>7</v>
      </c>
      <c r="E9" s="23">
        <v>9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23"/>
      <c r="AE9" s="23"/>
      <c r="AF9" s="23"/>
      <c r="AG9" s="23"/>
      <c r="AH9" s="23"/>
      <c r="AI9" s="23"/>
      <c r="AJ9" s="23"/>
      <c r="AK9" s="23"/>
      <c r="AL9" s="23">
        <v>6</v>
      </c>
      <c r="AM9" s="23">
        <v>9</v>
      </c>
      <c r="AN9" s="40"/>
      <c r="AO9" s="40"/>
      <c r="AP9" s="40">
        <f t="shared" ref="AP9:AP31" si="0">SUM(C9:E9)</f>
        <v>15</v>
      </c>
    </row>
    <row r="10" spans="1:42" ht="14.25" customHeight="1" x14ac:dyDescent="0.35">
      <c r="A10" s="93"/>
      <c r="B10" s="41" t="s">
        <v>8</v>
      </c>
      <c r="C10" s="42">
        <v>9</v>
      </c>
      <c r="D10" s="42" t="s">
        <v>7</v>
      </c>
      <c r="E10" s="23" t="s">
        <v>7</v>
      </c>
      <c r="F10" s="23"/>
      <c r="G10" s="23"/>
      <c r="H10" s="23"/>
      <c r="I10" s="23"/>
      <c r="J10" s="23">
        <v>3</v>
      </c>
      <c r="K10" s="23"/>
      <c r="L10" s="40"/>
      <c r="M10" s="40"/>
      <c r="N10" s="43"/>
      <c r="O10" s="43"/>
      <c r="P10" s="23"/>
      <c r="Q10" s="23"/>
      <c r="R10" s="43"/>
      <c r="S10" s="43"/>
      <c r="T10" s="23"/>
      <c r="U10" s="23"/>
      <c r="V10" s="23"/>
      <c r="W10" s="23"/>
      <c r="X10" s="40">
        <v>3</v>
      </c>
      <c r="Y10" s="40"/>
      <c r="Z10" s="40"/>
      <c r="AA10" s="40"/>
      <c r="AB10" s="43">
        <v>3</v>
      </c>
      <c r="AC10" s="4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40"/>
      <c r="AO10" s="40"/>
      <c r="AP10" s="40">
        <f t="shared" si="0"/>
        <v>9</v>
      </c>
    </row>
    <row r="11" spans="1:42" ht="14.25" customHeight="1" x14ac:dyDescent="0.35">
      <c r="A11" s="93"/>
      <c r="B11" s="41" t="s">
        <v>59</v>
      </c>
      <c r="C11" s="42">
        <v>9</v>
      </c>
      <c r="D11" s="42">
        <v>18</v>
      </c>
      <c r="E11" s="23" t="s">
        <v>7</v>
      </c>
      <c r="F11" s="23"/>
      <c r="G11" s="23"/>
      <c r="H11" s="23"/>
      <c r="I11" s="23"/>
      <c r="J11" s="23"/>
      <c r="K11" s="23"/>
      <c r="L11" s="40">
        <v>3</v>
      </c>
      <c r="M11" s="40">
        <v>2</v>
      </c>
      <c r="N11" s="43"/>
      <c r="O11" s="43"/>
      <c r="P11" s="23"/>
      <c r="Q11" s="23"/>
      <c r="R11" s="43">
        <v>3</v>
      </c>
      <c r="S11" s="43">
        <v>6</v>
      </c>
      <c r="T11" s="23"/>
      <c r="U11" s="23"/>
      <c r="V11" s="44">
        <v>3</v>
      </c>
      <c r="W11" s="44">
        <v>6</v>
      </c>
      <c r="X11" s="23"/>
      <c r="Y11" s="23">
        <v>2</v>
      </c>
      <c r="Z11" s="40"/>
      <c r="AA11" s="40"/>
      <c r="AB11" s="43"/>
      <c r="AC11" s="43"/>
      <c r="AD11" s="23"/>
      <c r="AE11" s="23"/>
      <c r="AF11" s="23"/>
      <c r="AG11" s="23"/>
      <c r="AH11" s="23"/>
      <c r="AI11" s="23"/>
      <c r="AJ11" s="23"/>
      <c r="AK11" s="23">
        <v>2</v>
      </c>
      <c r="AL11" s="23"/>
      <c r="AM11" s="23"/>
      <c r="AN11" s="40"/>
      <c r="AO11" s="40"/>
      <c r="AP11" s="40">
        <f t="shared" si="0"/>
        <v>27</v>
      </c>
    </row>
    <row r="12" spans="1:42" ht="14.25" customHeight="1" x14ac:dyDescent="0.35">
      <c r="A12" s="93"/>
      <c r="B12" s="41" t="s">
        <v>62</v>
      </c>
      <c r="C12" s="42">
        <v>9</v>
      </c>
      <c r="D12" s="42">
        <v>18</v>
      </c>
      <c r="E12" s="23" t="s">
        <v>7</v>
      </c>
      <c r="F12" s="23"/>
      <c r="G12" s="45"/>
      <c r="H12" s="45"/>
      <c r="I12" s="23">
        <v>2</v>
      </c>
      <c r="J12" s="23"/>
      <c r="K12" s="23"/>
      <c r="L12" s="40"/>
      <c r="M12" s="40"/>
      <c r="N12" s="43"/>
      <c r="O12" s="43"/>
      <c r="P12" s="23"/>
      <c r="Q12" s="23"/>
      <c r="R12" s="43"/>
      <c r="S12" s="43"/>
      <c r="T12" s="23"/>
      <c r="U12" s="46"/>
      <c r="V12" s="47"/>
      <c r="W12" s="47"/>
      <c r="X12" s="40"/>
      <c r="Y12" s="40"/>
      <c r="Z12" s="48">
        <v>3</v>
      </c>
      <c r="AA12" s="40">
        <v>6</v>
      </c>
      <c r="AB12" s="43"/>
      <c r="AC12" s="43"/>
      <c r="AD12" s="23"/>
      <c r="AE12" s="23"/>
      <c r="AF12" s="23">
        <v>3</v>
      </c>
      <c r="AG12" s="23">
        <v>6</v>
      </c>
      <c r="AH12" s="23"/>
      <c r="AI12" s="23"/>
      <c r="AJ12" s="23">
        <v>3</v>
      </c>
      <c r="AK12" s="46">
        <v>4</v>
      </c>
      <c r="AL12" s="23"/>
      <c r="AM12" s="23"/>
      <c r="AN12" s="40"/>
      <c r="AO12" s="40"/>
      <c r="AP12" s="40">
        <f t="shared" si="0"/>
        <v>27</v>
      </c>
    </row>
    <row r="13" spans="1:42" ht="14.25" customHeight="1" x14ac:dyDescent="0.35">
      <c r="A13" s="93"/>
      <c r="B13" s="41" t="s">
        <v>65</v>
      </c>
      <c r="C13" s="42">
        <v>6</v>
      </c>
      <c r="D13" s="42" t="s">
        <v>7</v>
      </c>
      <c r="E13" s="45" t="s">
        <v>7</v>
      </c>
      <c r="F13" s="46"/>
      <c r="G13" s="21"/>
      <c r="H13" s="21"/>
      <c r="I13" s="49"/>
      <c r="J13" s="23"/>
      <c r="K13" s="23"/>
      <c r="L13" s="40"/>
      <c r="M13" s="40"/>
      <c r="N13" s="43"/>
      <c r="O13" s="43"/>
      <c r="P13" s="46"/>
      <c r="Q13" s="46"/>
      <c r="R13" s="43"/>
      <c r="S13" s="43"/>
      <c r="T13" s="23"/>
      <c r="U13" s="46"/>
      <c r="V13" s="50"/>
      <c r="W13" s="50"/>
      <c r="X13" s="45"/>
      <c r="Y13" s="45"/>
      <c r="Z13" s="48"/>
      <c r="AA13" s="40"/>
      <c r="AB13" s="43"/>
      <c r="AC13" s="43"/>
      <c r="AD13" s="23"/>
      <c r="AE13" s="23"/>
      <c r="AF13" s="23"/>
      <c r="AG13" s="23"/>
      <c r="AH13" s="23"/>
      <c r="AI13" s="23"/>
      <c r="AJ13" s="23">
        <v>6</v>
      </c>
      <c r="AK13" s="23"/>
      <c r="AL13" s="23"/>
      <c r="AM13" s="23"/>
      <c r="AN13" s="40"/>
      <c r="AO13" s="40"/>
      <c r="AP13" s="40">
        <f t="shared" si="0"/>
        <v>6</v>
      </c>
    </row>
    <row r="14" spans="1:42" ht="14.25" customHeight="1" x14ac:dyDescent="0.35">
      <c r="A14" s="93"/>
      <c r="B14" s="51" t="s">
        <v>68</v>
      </c>
      <c r="C14" s="42">
        <v>6</v>
      </c>
      <c r="D14" s="42">
        <v>18</v>
      </c>
      <c r="E14" s="26" t="s">
        <v>7</v>
      </c>
      <c r="F14" s="49">
        <v>4</v>
      </c>
      <c r="G14" s="43">
        <v>8</v>
      </c>
      <c r="H14" s="43"/>
      <c r="I14" s="23"/>
      <c r="J14" s="45"/>
      <c r="K14" s="45"/>
      <c r="L14" s="40"/>
      <c r="M14" s="40"/>
      <c r="N14" s="43">
        <v>2</v>
      </c>
      <c r="O14" s="43">
        <v>8</v>
      </c>
      <c r="P14" s="23"/>
      <c r="Q14" s="23"/>
      <c r="R14" s="43"/>
      <c r="S14" s="43"/>
      <c r="T14" s="23"/>
      <c r="U14" s="23"/>
      <c r="V14" s="40"/>
      <c r="W14" s="40"/>
      <c r="X14" s="45"/>
      <c r="Y14" s="47"/>
      <c r="Z14" s="23"/>
      <c r="AA14" s="23"/>
      <c r="AB14" s="52"/>
      <c r="AC14" s="52"/>
      <c r="AD14" s="23"/>
      <c r="AE14" s="23">
        <v>2</v>
      </c>
      <c r="AF14" s="45"/>
      <c r="AG14" s="45"/>
      <c r="AH14" s="23"/>
      <c r="AI14" s="23"/>
      <c r="AJ14" s="23"/>
      <c r="AK14" s="23"/>
      <c r="AL14" s="23"/>
      <c r="AM14" s="23"/>
      <c r="AN14" s="40"/>
      <c r="AO14" s="40"/>
      <c r="AP14" s="40">
        <f t="shared" si="0"/>
        <v>24</v>
      </c>
    </row>
    <row r="15" spans="1:42" ht="14.25" customHeight="1" x14ac:dyDescent="0.35">
      <c r="A15" s="93"/>
      <c r="B15" s="41" t="s">
        <v>109</v>
      </c>
      <c r="C15" s="42">
        <v>0</v>
      </c>
      <c r="D15" s="42">
        <v>0</v>
      </c>
      <c r="E15" s="63" t="s">
        <v>7</v>
      </c>
      <c r="F15" s="23"/>
      <c r="G15" s="23"/>
      <c r="H15" s="23"/>
      <c r="I15" s="46"/>
      <c r="J15" s="3"/>
      <c r="K15" s="3"/>
      <c r="L15" s="23"/>
      <c r="M15" s="23"/>
      <c r="N15" s="49"/>
      <c r="O15" s="23"/>
      <c r="P15" s="23"/>
      <c r="Q15" s="23"/>
      <c r="R15" s="23"/>
      <c r="S15" s="23"/>
      <c r="T15" s="23"/>
      <c r="U15" s="23"/>
      <c r="V15" s="23"/>
      <c r="W15" s="23"/>
      <c r="X15" s="49"/>
      <c r="Y15" s="23"/>
      <c r="Z15" s="23"/>
      <c r="AA15" s="23"/>
      <c r="AB15" s="47"/>
      <c r="AC15" s="47"/>
      <c r="AD15" s="23"/>
      <c r="AE15" s="23"/>
      <c r="AF15" s="47"/>
      <c r="AG15" s="47"/>
      <c r="AH15" s="23"/>
      <c r="AI15" s="23"/>
      <c r="AJ15" s="23"/>
      <c r="AK15" s="46"/>
      <c r="AL15" s="49"/>
      <c r="AM15" s="23"/>
      <c r="AN15" s="23"/>
      <c r="AO15" s="23"/>
      <c r="AP15" s="40">
        <f t="shared" si="0"/>
        <v>0</v>
      </c>
    </row>
    <row r="16" spans="1:42" ht="14.25" customHeight="1" x14ac:dyDescent="0.35">
      <c r="A16" s="93"/>
      <c r="B16" s="62" t="s">
        <v>110</v>
      </c>
      <c r="C16" s="42">
        <v>0</v>
      </c>
      <c r="D16" s="42">
        <v>0</v>
      </c>
      <c r="E16" s="23" t="s">
        <v>7</v>
      </c>
      <c r="F16" s="23"/>
      <c r="G16" s="23"/>
      <c r="H16" s="23"/>
      <c r="I16" s="23"/>
      <c r="J16" s="43"/>
      <c r="K16" s="43"/>
      <c r="L16" s="40"/>
      <c r="M16" s="40"/>
      <c r="N16" s="43"/>
      <c r="O16" s="43"/>
      <c r="P16" s="23"/>
      <c r="Q16" s="23"/>
      <c r="R16" s="43"/>
      <c r="S16" s="43"/>
      <c r="V16" s="23"/>
      <c r="W16" s="23"/>
      <c r="X16" s="40"/>
      <c r="Y16" s="40"/>
      <c r="Z16" s="40"/>
      <c r="AA16" s="40"/>
      <c r="AB16" s="43"/>
      <c r="AC16" s="43"/>
      <c r="AD16" s="23"/>
      <c r="AE16" s="23"/>
      <c r="AF16" s="43"/>
      <c r="AG16" s="43"/>
      <c r="AH16" s="23"/>
      <c r="AI16" s="23"/>
      <c r="AJ16" s="23"/>
      <c r="AK16" s="23"/>
      <c r="AL16" s="23"/>
      <c r="AM16" s="23"/>
      <c r="AN16" s="40"/>
      <c r="AO16" s="40"/>
      <c r="AP16" s="40">
        <f t="shared" si="0"/>
        <v>0</v>
      </c>
    </row>
    <row r="17" spans="1:42" ht="14.25" customHeight="1" x14ac:dyDescent="0.35">
      <c r="A17" s="94"/>
      <c r="B17" s="51" t="s">
        <v>108</v>
      </c>
      <c r="C17" s="61">
        <v>0</v>
      </c>
      <c r="D17" s="61">
        <v>6</v>
      </c>
      <c r="E17" s="23" t="s">
        <v>7</v>
      </c>
      <c r="F17" s="23"/>
      <c r="G17" s="23"/>
      <c r="H17" s="23"/>
      <c r="I17" s="23"/>
      <c r="J17" s="43"/>
      <c r="K17" s="43"/>
      <c r="L17" s="40"/>
      <c r="M17" s="40"/>
      <c r="N17" s="43"/>
      <c r="O17" s="43"/>
      <c r="P17" s="23"/>
      <c r="Q17" s="23"/>
      <c r="R17" s="43"/>
      <c r="S17" s="43"/>
      <c r="T17" s="23"/>
      <c r="U17" s="23"/>
      <c r="V17" s="23"/>
      <c r="W17" s="23"/>
      <c r="X17" s="40"/>
      <c r="Y17" s="40"/>
      <c r="Z17" s="40"/>
      <c r="AA17" s="40"/>
      <c r="AB17" s="43"/>
      <c r="AC17" s="43"/>
      <c r="AD17" s="23"/>
      <c r="AE17" s="23"/>
      <c r="AH17" s="23"/>
      <c r="AI17" s="23">
        <v>4</v>
      </c>
      <c r="AJ17" s="23"/>
      <c r="AK17" s="23">
        <v>2</v>
      </c>
      <c r="AL17" s="23"/>
      <c r="AM17" s="23"/>
      <c r="AN17" s="40"/>
      <c r="AO17" s="40"/>
      <c r="AP17" s="40">
        <f t="shared" si="0"/>
        <v>6</v>
      </c>
    </row>
    <row r="18" spans="1:42" ht="17.25" customHeight="1" x14ac:dyDescent="0.35">
      <c r="A18" s="95" t="s">
        <v>28</v>
      </c>
      <c r="B18" s="59" t="s">
        <v>77</v>
      </c>
      <c r="C18" s="21">
        <v>9</v>
      </c>
      <c r="D18" s="21" t="s">
        <v>7</v>
      </c>
      <c r="E18" s="23" t="s">
        <v>7</v>
      </c>
      <c r="F18" s="23"/>
      <c r="G18" s="23"/>
      <c r="H18" s="23"/>
      <c r="I18" s="23"/>
      <c r="J18" s="23">
        <v>3</v>
      </c>
      <c r="K18" s="23"/>
      <c r="L18" s="40"/>
      <c r="M18" s="40"/>
      <c r="N18" s="43"/>
      <c r="O18" s="43"/>
      <c r="P18" s="23"/>
      <c r="Q18" s="23"/>
      <c r="R18" s="43"/>
      <c r="S18" s="43"/>
      <c r="T18" s="23">
        <v>3</v>
      </c>
      <c r="U18" s="23"/>
      <c r="V18" s="23"/>
      <c r="W18" s="23"/>
      <c r="X18" s="40"/>
      <c r="Y18" s="40"/>
      <c r="Z18" s="40"/>
      <c r="AA18" s="40"/>
      <c r="AB18" s="43"/>
      <c r="AC18" s="43"/>
      <c r="AD18" s="23">
        <v>3</v>
      </c>
      <c r="AE18" s="23"/>
      <c r="AF18" s="23"/>
      <c r="AG18" s="23"/>
      <c r="AH18" s="23"/>
      <c r="AI18" s="23"/>
      <c r="AJ18" s="23"/>
      <c r="AK18" s="23"/>
      <c r="AL18" s="23"/>
      <c r="AM18" s="23"/>
      <c r="AN18" s="40"/>
      <c r="AO18" s="40"/>
      <c r="AP18" s="40">
        <f t="shared" si="0"/>
        <v>9</v>
      </c>
    </row>
    <row r="19" spans="1:42" ht="15.75" customHeight="1" x14ac:dyDescent="0.35">
      <c r="A19" s="93"/>
      <c r="B19" s="3" t="s">
        <v>80</v>
      </c>
      <c r="C19" s="21">
        <v>9</v>
      </c>
      <c r="D19" s="21" t="s">
        <v>7</v>
      </c>
      <c r="E19" s="23" t="s">
        <v>7</v>
      </c>
      <c r="F19" s="23"/>
      <c r="G19" s="23"/>
      <c r="H19" s="23"/>
      <c r="I19" s="23"/>
      <c r="J19" s="23"/>
      <c r="K19" s="23"/>
      <c r="L19" s="40"/>
      <c r="M19" s="40"/>
      <c r="N19" s="43"/>
      <c r="O19" s="43"/>
      <c r="P19" s="23"/>
      <c r="Q19" s="23"/>
      <c r="R19" s="43"/>
      <c r="S19" s="43"/>
      <c r="T19" s="23"/>
      <c r="U19" s="23"/>
      <c r="V19" s="23">
        <v>3</v>
      </c>
      <c r="W19" s="23"/>
      <c r="X19" s="40"/>
      <c r="Y19" s="40"/>
      <c r="Z19" s="40"/>
      <c r="AA19" s="40"/>
      <c r="AB19" s="43"/>
      <c r="AC19" s="43"/>
      <c r="AD19" s="23"/>
      <c r="AE19" s="23"/>
      <c r="AF19" s="23"/>
      <c r="AG19" s="23"/>
      <c r="AH19" s="23">
        <v>6</v>
      </c>
      <c r="AI19" s="23"/>
      <c r="AJ19" s="23"/>
      <c r="AK19" s="23"/>
      <c r="AL19" s="23"/>
      <c r="AM19" s="23"/>
      <c r="AN19" s="40"/>
      <c r="AO19" s="40"/>
      <c r="AP19" s="40">
        <f t="shared" si="0"/>
        <v>9</v>
      </c>
    </row>
    <row r="20" spans="1:42" ht="15.75" customHeight="1" x14ac:dyDescent="0.35">
      <c r="A20" s="93"/>
      <c r="B20" s="3" t="s">
        <v>9</v>
      </c>
      <c r="C20" s="21">
        <v>9</v>
      </c>
      <c r="D20" s="23">
        <v>24</v>
      </c>
      <c r="E20" s="23" t="s">
        <v>7</v>
      </c>
      <c r="F20" s="23"/>
      <c r="G20" s="45"/>
      <c r="H20" s="45"/>
      <c r="I20" s="23"/>
      <c r="J20" s="23"/>
      <c r="K20" s="23"/>
      <c r="L20" s="40">
        <v>3</v>
      </c>
      <c r="M20" s="40">
        <v>8</v>
      </c>
      <c r="N20" s="43"/>
      <c r="O20" s="43"/>
      <c r="P20" s="46">
        <v>3</v>
      </c>
      <c r="Q20" s="23">
        <v>10</v>
      </c>
      <c r="R20" s="43">
        <v>3</v>
      </c>
      <c r="S20" s="43">
        <v>4</v>
      </c>
      <c r="T20" s="23"/>
      <c r="U20" s="23"/>
      <c r="V20" s="23"/>
      <c r="W20" s="23"/>
      <c r="X20" s="40"/>
      <c r="Y20" s="40"/>
      <c r="Z20" s="40"/>
      <c r="AA20" s="40"/>
      <c r="AB20" s="43"/>
      <c r="AC20" s="43"/>
      <c r="AD20" s="23"/>
      <c r="AE20" s="23"/>
      <c r="AF20" s="23"/>
      <c r="AG20" s="23">
        <v>2</v>
      </c>
      <c r="AH20" s="23"/>
      <c r="AI20" s="23"/>
      <c r="AJ20" s="23"/>
      <c r="AK20" s="23"/>
      <c r="AL20" s="23"/>
      <c r="AM20" s="23"/>
      <c r="AN20" s="40"/>
      <c r="AO20" s="40"/>
      <c r="AP20" s="40">
        <f t="shared" si="0"/>
        <v>33</v>
      </c>
    </row>
    <row r="21" spans="1:42" ht="15.75" customHeight="1" x14ac:dyDescent="0.35">
      <c r="A21" s="93"/>
      <c r="B21" s="3" t="s">
        <v>10</v>
      </c>
      <c r="C21" s="21">
        <v>9</v>
      </c>
      <c r="D21" s="23">
        <v>24</v>
      </c>
      <c r="E21" s="23" t="s">
        <v>7</v>
      </c>
      <c r="F21" s="46"/>
      <c r="G21" s="21"/>
      <c r="H21" s="21">
        <v>3</v>
      </c>
      <c r="I21" s="49">
        <v>8</v>
      </c>
      <c r="J21" s="23"/>
      <c r="K21" s="23"/>
      <c r="L21" s="40"/>
      <c r="M21" s="40"/>
      <c r="N21" s="43"/>
      <c r="O21" s="43"/>
      <c r="Q21" s="46"/>
      <c r="R21" s="43"/>
      <c r="S21" s="43"/>
      <c r="T21" s="23"/>
      <c r="U21" s="23"/>
      <c r="V21" s="23"/>
      <c r="W21" s="23"/>
      <c r="X21" s="40">
        <v>3</v>
      </c>
      <c r="Y21" s="40">
        <v>8</v>
      </c>
      <c r="Z21" s="40"/>
      <c r="AA21" s="40"/>
      <c r="AB21" s="43">
        <v>3</v>
      </c>
      <c r="AC21" s="43">
        <v>8</v>
      </c>
      <c r="AD21" s="40"/>
      <c r="AE21" s="40"/>
      <c r="AF21" s="23"/>
      <c r="AG21" s="23"/>
      <c r="AH21" s="23"/>
      <c r="AI21" s="23"/>
      <c r="AJ21" s="23"/>
      <c r="AK21" s="23"/>
      <c r="AL21" s="23"/>
      <c r="AM21" s="23"/>
      <c r="AN21" s="40"/>
      <c r="AO21" s="40"/>
      <c r="AP21" s="40">
        <f t="shared" si="0"/>
        <v>33</v>
      </c>
    </row>
    <row r="22" spans="1:42" ht="15.75" customHeight="1" x14ac:dyDescent="0.35">
      <c r="A22" s="93"/>
      <c r="B22" s="3" t="s">
        <v>87</v>
      </c>
      <c r="C22" s="21">
        <v>6</v>
      </c>
      <c r="D22" s="21" t="s">
        <v>7</v>
      </c>
      <c r="E22" s="21" t="s">
        <v>7</v>
      </c>
      <c r="F22" s="23">
        <v>3</v>
      </c>
      <c r="G22" s="43"/>
      <c r="H22" s="43"/>
      <c r="I22" s="23"/>
      <c r="J22" s="23"/>
      <c r="K22" s="23"/>
      <c r="L22" s="40"/>
      <c r="M22" s="40"/>
      <c r="N22" s="43"/>
      <c r="O22" s="43"/>
      <c r="P22" s="23"/>
      <c r="Q22" s="23"/>
      <c r="R22" s="43"/>
      <c r="S22" s="43"/>
      <c r="T22" s="23"/>
      <c r="U22" s="23"/>
      <c r="V22" s="23"/>
      <c r="W22" s="23"/>
      <c r="X22" s="40"/>
      <c r="Y22" s="40"/>
      <c r="Z22" s="40"/>
      <c r="AA22" s="40"/>
      <c r="AB22" s="43"/>
      <c r="AC22" s="43"/>
      <c r="AD22" s="23"/>
      <c r="AE22" s="23"/>
      <c r="AF22" s="23"/>
      <c r="AG22" s="23"/>
      <c r="AH22" s="23">
        <v>3</v>
      </c>
      <c r="AI22" s="23"/>
      <c r="AJ22" s="23"/>
      <c r="AK22" s="23"/>
      <c r="AL22" s="23"/>
      <c r="AM22" s="23"/>
      <c r="AN22" s="40"/>
      <c r="AO22" s="40"/>
      <c r="AP22" s="40">
        <f t="shared" si="0"/>
        <v>6</v>
      </c>
    </row>
    <row r="23" spans="1:42" ht="15.75" customHeight="1" x14ac:dyDescent="0.35">
      <c r="A23" s="93"/>
      <c r="B23" s="3" t="s">
        <v>11</v>
      </c>
      <c r="C23" s="21" t="s">
        <v>7</v>
      </c>
      <c r="D23" s="23">
        <v>24</v>
      </c>
      <c r="E23" s="21" t="s">
        <v>7</v>
      </c>
      <c r="F23" s="23"/>
      <c r="G23" s="43"/>
      <c r="H23" s="43"/>
      <c r="I23" s="23"/>
      <c r="J23" s="23"/>
      <c r="K23" s="23">
        <v>10</v>
      </c>
      <c r="L23" s="40"/>
      <c r="M23" s="40"/>
      <c r="N23" s="43"/>
      <c r="O23" s="43"/>
      <c r="P23" s="23"/>
      <c r="Q23" s="23"/>
      <c r="R23" s="43"/>
      <c r="S23" s="43"/>
      <c r="T23" s="23"/>
      <c r="U23" s="23">
        <v>6</v>
      </c>
      <c r="V23" s="23"/>
      <c r="W23" s="23">
        <v>4</v>
      </c>
      <c r="X23" s="40"/>
      <c r="Y23" s="40"/>
      <c r="Z23" s="40"/>
      <c r="AA23" s="40"/>
      <c r="AB23" s="43"/>
      <c r="AC23" s="43"/>
      <c r="AD23" s="23"/>
      <c r="AE23" s="23">
        <v>4</v>
      </c>
      <c r="AF23" s="23"/>
      <c r="AG23" s="23"/>
      <c r="AH23" s="23"/>
      <c r="AI23" s="23"/>
      <c r="AJ23" s="23"/>
      <c r="AK23" s="23"/>
      <c r="AL23" s="23"/>
      <c r="AM23" s="23"/>
      <c r="AN23" s="40"/>
      <c r="AO23" s="40"/>
      <c r="AP23" s="40">
        <f t="shared" si="0"/>
        <v>24</v>
      </c>
    </row>
    <row r="24" spans="1:42" ht="15.75" customHeight="1" x14ac:dyDescent="0.35">
      <c r="A24" s="93"/>
      <c r="B24" s="53" t="s">
        <v>12</v>
      </c>
      <c r="C24" s="65">
        <v>6</v>
      </c>
      <c r="D24" s="65">
        <v>24</v>
      </c>
      <c r="E24" s="21" t="s">
        <v>7</v>
      </c>
      <c r="F24" s="45"/>
      <c r="G24" s="45"/>
      <c r="H24" s="45"/>
      <c r="I24" s="45"/>
      <c r="J24" s="45"/>
      <c r="K24" s="45"/>
      <c r="L24" s="44"/>
      <c r="M24" s="44"/>
      <c r="N24" s="52"/>
      <c r="O24" s="52"/>
      <c r="P24" s="45"/>
      <c r="Q24" s="45"/>
      <c r="R24" s="52"/>
      <c r="S24" s="52"/>
      <c r="T24" s="45"/>
      <c r="U24" s="45"/>
      <c r="V24" s="45"/>
      <c r="W24" s="45"/>
      <c r="X24" s="44"/>
      <c r="Y24" s="44"/>
      <c r="Z24" s="44"/>
      <c r="AA24" s="44"/>
      <c r="AB24" s="52"/>
      <c r="AC24" s="52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4">
        <v>6</v>
      </c>
      <c r="AO24" s="44">
        <v>24</v>
      </c>
      <c r="AP24" s="44">
        <f t="shared" si="0"/>
        <v>30</v>
      </c>
    </row>
    <row r="25" spans="1:42" ht="15.75" customHeight="1" x14ac:dyDescent="0.35">
      <c r="A25" s="94"/>
      <c r="B25" s="47" t="s">
        <v>94</v>
      </c>
      <c r="C25" s="26">
        <v>4</v>
      </c>
      <c r="D25" s="21" t="s">
        <v>7</v>
      </c>
      <c r="E25" s="21" t="s">
        <v>7</v>
      </c>
      <c r="F25" s="26"/>
      <c r="G25" s="26"/>
      <c r="H25" s="26"/>
      <c r="I25" s="26"/>
      <c r="J25" s="26"/>
      <c r="K25" s="26"/>
      <c r="L25" s="50"/>
      <c r="M25" s="50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50"/>
      <c r="Y25" s="50"/>
      <c r="Z25" s="50">
        <v>2</v>
      </c>
      <c r="AA25" s="50"/>
      <c r="AB25" s="26">
        <v>2</v>
      </c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50"/>
      <c r="AO25" s="50"/>
      <c r="AP25" s="44">
        <f t="shared" si="0"/>
        <v>4</v>
      </c>
    </row>
    <row r="26" spans="1:42" ht="15.75" customHeight="1" x14ac:dyDescent="0.35">
      <c r="A26" s="96" t="s">
        <v>29</v>
      </c>
      <c r="B26" s="66" t="s">
        <v>13</v>
      </c>
      <c r="C26" s="67">
        <v>3</v>
      </c>
      <c r="D26" s="67">
        <v>6</v>
      </c>
      <c r="E26" s="58" t="s">
        <v>7</v>
      </c>
      <c r="F26" s="68"/>
      <c r="G26" s="59"/>
      <c r="H26" s="59"/>
      <c r="I26" s="59"/>
      <c r="J26" s="59"/>
      <c r="K26" s="69"/>
      <c r="L26" s="59"/>
      <c r="M26" s="59"/>
      <c r="N26" s="59">
        <v>3</v>
      </c>
      <c r="O26" s="59">
        <v>2</v>
      </c>
      <c r="P26" s="68"/>
      <c r="Q26" s="68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>
        <v>4</v>
      </c>
      <c r="AJ26" s="59"/>
      <c r="AK26" s="59"/>
      <c r="AL26" s="59"/>
      <c r="AM26" s="59"/>
      <c r="AN26" s="59"/>
      <c r="AO26" s="59"/>
      <c r="AP26" s="44">
        <f t="shared" si="0"/>
        <v>9</v>
      </c>
    </row>
    <row r="27" spans="1:42" ht="15.75" customHeight="1" x14ac:dyDescent="0.35">
      <c r="A27" s="97"/>
      <c r="B27" s="25" t="s">
        <v>14</v>
      </c>
      <c r="C27" s="26">
        <v>3</v>
      </c>
      <c r="D27" s="26">
        <v>6</v>
      </c>
      <c r="E27" s="21" t="s">
        <v>7</v>
      </c>
      <c r="F27" s="54"/>
      <c r="G27" s="3"/>
      <c r="H27" s="3"/>
      <c r="I27" s="3"/>
      <c r="J27" s="3"/>
      <c r="K27" s="2"/>
      <c r="L27" s="3"/>
      <c r="M27" s="3"/>
      <c r="N27" s="3"/>
      <c r="O27" s="3"/>
      <c r="P27" s="55"/>
      <c r="Q27" s="55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3</v>
      </c>
      <c r="AE27" s="3">
        <v>6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40">
        <f t="shared" si="0"/>
        <v>9</v>
      </c>
    </row>
    <row r="28" spans="1:42" ht="15.75" customHeight="1" x14ac:dyDescent="0.35">
      <c r="A28" s="97"/>
      <c r="B28" s="25" t="s">
        <v>101</v>
      </c>
      <c r="C28" s="26">
        <v>3</v>
      </c>
      <c r="D28" s="26">
        <v>4</v>
      </c>
      <c r="E28" s="21" t="s">
        <v>7</v>
      </c>
      <c r="F28" s="54"/>
      <c r="G28" s="3"/>
      <c r="H28" s="3"/>
      <c r="I28" s="3"/>
      <c r="J28" s="3"/>
      <c r="K28" s="2"/>
      <c r="L28" s="3"/>
      <c r="M28" s="3"/>
      <c r="N28" s="3"/>
      <c r="O28" s="56"/>
      <c r="P28" s="47"/>
      <c r="Q28" s="47"/>
      <c r="R28" s="57"/>
      <c r="S28" s="21"/>
      <c r="T28" s="3">
        <v>3</v>
      </c>
      <c r="U28" s="3">
        <v>4</v>
      </c>
      <c r="V28" s="3"/>
      <c r="W28" s="3"/>
      <c r="X28" s="53"/>
      <c r="Y28" s="53"/>
      <c r="Z28" s="53"/>
      <c r="AA28" s="5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40">
        <f t="shared" si="0"/>
        <v>7</v>
      </c>
    </row>
    <row r="29" spans="1:42" ht="15.75" customHeight="1" x14ac:dyDescent="0.35">
      <c r="A29" s="97"/>
      <c r="B29" s="25" t="s">
        <v>102</v>
      </c>
      <c r="C29" s="26">
        <v>3</v>
      </c>
      <c r="D29" s="26">
        <v>4</v>
      </c>
      <c r="E29" s="21" t="s">
        <v>7</v>
      </c>
      <c r="F29" s="54"/>
      <c r="G29" s="3"/>
      <c r="H29" s="3"/>
      <c r="I29" s="3"/>
      <c r="J29" s="3"/>
      <c r="K29" s="2"/>
      <c r="L29" s="3"/>
      <c r="M29" s="3"/>
      <c r="N29" s="3"/>
      <c r="O29" s="3"/>
      <c r="P29" s="58"/>
      <c r="Q29" s="58"/>
      <c r="R29" s="3"/>
      <c r="S29" s="3"/>
      <c r="T29" s="3"/>
      <c r="U29" s="3"/>
      <c r="V29" s="3"/>
      <c r="W29" s="3">
        <v>2</v>
      </c>
      <c r="X29" s="47"/>
      <c r="Y29" s="47"/>
      <c r="Z29" s="47"/>
      <c r="AA29" s="47"/>
      <c r="AB29" s="64"/>
      <c r="AC29" s="3"/>
      <c r="AD29" s="3"/>
      <c r="AE29" s="3"/>
      <c r="AF29" s="3">
        <v>3</v>
      </c>
      <c r="AG29" s="3">
        <v>4</v>
      </c>
      <c r="AH29" s="3"/>
      <c r="AI29" s="3"/>
      <c r="AJ29" s="3"/>
      <c r="AK29" s="3"/>
      <c r="AL29" s="3"/>
      <c r="AM29" s="3"/>
      <c r="AN29" s="3"/>
      <c r="AO29" s="3"/>
      <c r="AP29" s="40">
        <f t="shared" si="0"/>
        <v>7</v>
      </c>
    </row>
    <row r="30" spans="1:42" ht="15.75" customHeight="1" x14ac:dyDescent="0.35">
      <c r="A30" s="97"/>
      <c r="B30" s="25" t="s">
        <v>17</v>
      </c>
      <c r="C30" s="26">
        <v>6</v>
      </c>
      <c r="D30" s="26" t="s">
        <v>7</v>
      </c>
      <c r="E30" s="21" t="s">
        <v>7</v>
      </c>
      <c r="F30" s="54"/>
      <c r="G30" s="3"/>
      <c r="H30" s="3">
        <v>3</v>
      </c>
      <c r="I30" s="3"/>
      <c r="J30" s="3"/>
      <c r="K30" s="2"/>
      <c r="L30" s="3"/>
      <c r="M30" s="3"/>
      <c r="N30" s="3"/>
      <c r="O30" s="3"/>
      <c r="P30" s="21">
        <v>3</v>
      </c>
      <c r="Q30" s="21"/>
      <c r="R30" s="3"/>
      <c r="S30" s="3"/>
      <c r="T30" s="3"/>
      <c r="U30" s="3"/>
      <c r="V30" s="3"/>
      <c r="W30" s="3"/>
      <c r="X30" s="59"/>
      <c r="Y30" s="59"/>
      <c r="Z30" s="59"/>
      <c r="AA30" s="59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40">
        <f t="shared" si="0"/>
        <v>6</v>
      </c>
    </row>
    <row r="31" spans="1:42" ht="15.75" customHeight="1" x14ac:dyDescent="0.35">
      <c r="A31" s="98"/>
      <c r="B31" s="70" t="s">
        <v>94</v>
      </c>
      <c r="C31" s="26">
        <v>4</v>
      </c>
      <c r="D31" s="26">
        <v>4</v>
      </c>
      <c r="E31" s="21" t="s">
        <v>7</v>
      </c>
      <c r="F31" s="54"/>
      <c r="G31" s="3"/>
      <c r="H31" s="3"/>
      <c r="I31" s="3"/>
      <c r="J31" s="3"/>
      <c r="K31" s="3"/>
      <c r="L31" s="3"/>
      <c r="M31" s="3"/>
      <c r="N31" s="3">
        <v>2</v>
      </c>
      <c r="O31" s="3"/>
      <c r="P31" s="21"/>
      <c r="Q31" s="21"/>
      <c r="R31" s="3"/>
      <c r="S31" s="3"/>
      <c r="T31" s="3"/>
      <c r="U31" s="3"/>
      <c r="V31" s="3"/>
      <c r="W31" s="3"/>
      <c r="X31" s="3"/>
      <c r="Y31" s="3"/>
      <c r="Z31" s="3">
        <v>2</v>
      </c>
      <c r="AA31" s="3">
        <v>4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40">
        <f t="shared" si="0"/>
        <v>8</v>
      </c>
    </row>
    <row r="32" spans="1:42" ht="15.75" customHeight="1" x14ac:dyDescent="0.35">
      <c r="A32" s="88" t="s">
        <v>30</v>
      </c>
      <c r="B32" s="89"/>
      <c r="C32" s="101">
        <f>SUM(C9:C31)</f>
        <v>119</v>
      </c>
      <c r="D32" s="101">
        <f>SUM(D9:D31)</f>
        <v>180</v>
      </c>
      <c r="E32" s="101">
        <f>SUM(E9:E31)</f>
        <v>9</v>
      </c>
      <c r="F32" s="58">
        <f t="shared" ref="F32:Y32" si="1">SUM(F10:F31)</f>
        <v>7</v>
      </c>
      <c r="G32" s="58">
        <f t="shared" si="1"/>
        <v>8</v>
      </c>
      <c r="H32" s="58">
        <f t="shared" si="1"/>
        <v>6</v>
      </c>
      <c r="I32" s="58">
        <f t="shared" si="1"/>
        <v>10</v>
      </c>
      <c r="J32" s="58">
        <f t="shared" si="1"/>
        <v>6</v>
      </c>
      <c r="K32" s="58">
        <f t="shared" si="1"/>
        <v>10</v>
      </c>
      <c r="L32" s="58">
        <f t="shared" si="1"/>
        <v>6</v>
      </c>
      <c r="M32" s="58">
        <f t="shared" si="1"/>
        <v>10</v>
      </c>
      <c r="N32" s="58">
        <f t="shared" si="1"/>
        <v>7</v>
      </c>
      <c r="O32" s="58">
        <f t="shared" si="1"/>
        <v>10</v>
      </c>
      <c r="P32" s="58">
        <f t="shared" si="1"/>
        <v>6</v>
      </c>
      <c r="Q32" s="58">
        <f t="shared" si="1"/>
        <v>10</v>
      </c>
      <c r="R32" s="58">
        <f t="shared" si="1"/>
        <v>6</v>
      </c>
      <c r="S32" s="58">
        <f t="shared" si="1"/>
        <v>10</v>
      </c>
      <c r="T32" s="58">
        <f t="shared" si="1"/>
        <v>6</v>
      </c>
      <c r="U32" s="58">
        <f t="shared" si="1"/>
        <v>10</v>
      </c>
      <c r="V32" s="58">
        <f t="shared" si="1"/>
        <v>6</v>
      </c>
      <c r="W32" s="58">
        <f t="shared" si="1"/>
        <v>12</v>
      </c>
      <c r="X32" s="58">
        <f t="shared" si="1"/>
        <v>6</v>
      </c>
      <c r="Y32" s="58">
        <f t="shared" si="1"/>
        <v>10</v>
      </c>
      <c r="Z32" s="58">
        <f t="shared" ref="Z32:AO32" si="2">SUM(Z9:Z31)</f>
        <v>7</v>
      </c>
      <c r="AA32" s="58">
        <f t="shared" si="2"/>
        <v>10</v>
      </c>
      <c r="AB32" s="58">
        <f t="shared" si="2"/>
        <v>8</v>
      </c>
      <c r="AC32" s="58">
        <f t="shared" si="2"/>
        <v>8</v>
      </c>
      <c r="AD32" s="58">
        <f t="shared" si="2"/>
        <v>6</v>
      </c>
      <c r="AE32" s="58">
        <f t="shared" si="2"/>
        <v>12</v>
      </c>
      <c r="AF32" s="58">
        <f t="shared" ref="AF32" si="3">SUM(AF9:AF31)</f>
        <v>6</v>
      </c>
      <c r="AG32" s="58">
        <f t="shared" ref="AG32" si="4">SUM(AG9:AG31)</f>
        <v>12</v>
      </c>
      <c r="AH32" s="58">
        <f t="shared" si="2"/>
        <v>9</v>
      </c>
      <c r="AI32" s="58">
        <f t="shared" si="2"/>
        <v>8</v>
      </c>
      <c r="AJ32" s="58">
        <f t="shared" si="2"/>
        <v>9</v>
      </c>
      <c r="AK32" s="58">
        <f t="shared" si="2"/>
        <v>8</v>
      </c>
      <c r="AL32" s="58">
        <f t="shared" si="2"/>
        <v>6</v>
      </c>
      <c r="AM32" s="58">
        <f t="shared" si="2"/>
        <v>9</v>
      </c>
      <c r="AN32" s="58">
        <f t="shared" si="2"/>
        <v>6</v>
      </c>
      <c r="AO32" s="58">
        <f t="shared" si="2"/>
        <v>24</v>
      </c>
      <c r="AP32" s="101">
        <f>SUM(AP10:AP23)+SUM(AP26:AP31)</f>
        <v>259</v>
      </c>
    </row>
    <row r="33" spans="1:43" ht="15.75" customHeight="1" x14ac:dyDescent="0.35">
      <c r="A33" s="90"/>
      <c r="B33" s="91"/>
      <c r="C33" s="102"/>
      <c r="D33" s="102"/>
      <c r="E33" s="102"/>
      <c r="F33" s="99">
        <f>SUM(F32:G32)</f>
        <v>15</v>
      </c>
      <c r="G33" s="100"/>
      <c r="H33" s="99">
        <f>SUM(H32:I32)</f>
        <v>16</v>
      </c>
      <c r="I33" s="100"/>
      <c r="J33" s="99">
        <f>SUM(J32:K32)</f>
        <v>16</v>
      </c>
      <c r="K33" s="100"/>
      <c r="L33" s="99">
        <f>SUM(L32:M32)</f>
        <v>16</v>
      </c>
      <c r="M33" s="100"/>
      <c r="N33" s="99">
        <f>SUM(N32:O32)</f>
        <v>17</v>
      </c>
      <c r="O33" s="100"/>
      <c r="P33" s="99">
        <f>SUM(P32:Q32)</f>
        <v>16</v>
      </c>
      <c r="Q33" s="100"/>
      <c r="R33" s="99">
        <f>SUM(R32:S32)</f>
        <v>16</v>
      </c>
      <c r="S33" s="100"/>
      <c r="T33" s="99">
        <f>SUM(T32:U32)</f>
        <v>16</v>
      </c>
      <c r="U33" s="100"/>
      <c r="V33" s="99">
        <f>SUM(V32:W32)</f>
        <v>18</v>
      </c>
      <c r="W33" s="100"/>
      <c r="X33" s="99">
        <f>SUM(X32:Y32)</f>
        <v>16</v>
      </c>
      <c r="Y33" s="100"/>
      <c r="Z33" s="99">
        <f>SUM(Z32:AA32)</f>
        <v>17</v>
      </c>
      <c r="AA33" s="100"/>
      <c r="AB33" s="99">
        <f t="shared" ref="AB33" si="5">SUM(AB32:AC32)</f>
        <v>16</v>
      </c>
      <c r="AC33" s="100"/>
      <c r="AD33" s="99">
        <f t="shared" ref="AD33" si="6">SUM(AD32:AE32)</f>
        <v>18</v>
      </c>
      <c r="AE33" s="100"/>
      <c r="AF33" s="99">
        <f>SUM(AF32:AG32)</f>
        <v>18</v>
      </c>
      <c r="AG33" s="100"/>
      <c r="AH33" s="99">
        <f t="shared" ref="AH33" si="7">SUM(AH32:AI32)</f>
        <v>17</v>
      </c>
      <c r="AI33" s="100"/>
      <c r="AJ33" s="99">
        <f t="shared" ref="AJ33" si="8">SUM(AJ32:AK32)</f>
        <v>17</v>
      </c>
      <c r="AK33" s="100"/>
      <c r="AL33" s="99">
        <f>SUM(AL32:AM32)</f>
        <v>15</v>
      </c>
      <c r="AM33" s="100"/>
      <c r="AN33" s="99">
        <f>SUM(AN32:AO32)</f>
        <v>30</v>
      </c>
      <c r="AO33" s="100"/>
      <c r="AP33" s="102"/>
    </row>
    <row r="34" spans="1:43" ht="15.75" customHeight="1" x14ac:dyDescent="0.35">
      <c r="A34" s="60"/>
      <c r="B34" s="60"/>
      <c r="C34" s="60"/>
      <c r="D34" s="60"/>
      <c r="E34" s="60"/>
      <c r="F34" s="32"/>
      <c r="G34" s="60"/>
      <c r="H34" s="32"/>
      <c r="I34" s="60"/>
      <c r="J34" s="32"/>
      <c r="K34" s="60"/>
      <c r="L34" s="32"/>
      <c r="M34" s="60"/>
      <c r="N34" s="32" t="s">
        <v>42</v>
      </c>
      <c r="O34" s="60"/>
      <c r="P34" s="32"/>
      <c r="Q34" s="60"/>
      <c r="R34" s="32"/>
      <c r="S34" s="60"/>
      <c r="T34" s="32"/>
      <c r="U34" s="60"/>
      <c r="V34" s="32"/>
      <c r="W34" s="60"/>
      <c r="X34" s="32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32"/>
      <c r="AK34" s="60"/>
      <c r="AL34" s="60"/>
    </row>
    <row r="35" spans="1:43" ht="15.75" customHeight="1" x14ac:dyDescent="0.35">
      <c r="A35" s="60"/>
      <c r="B35" s="60"/>
      <c r="C35" s="60"/>
      <c r="D35" s="60"/>
      <c r="E35" s="60"/>
      <c r="F35" s="32"/>
      <c r="G35" s="60"/>
      <c r="H35" s="32"/>
      <c r="I35" s="33" t="s">
        <v>113</v>
      </c>
      <c r="N35" s="60"/>
      <c r="O35" s="32"/>
      <c r="P35" s="60"/>
      <c r="Q35" s="32"/>
      <c r="R35" s="60"/>
      <c r="S35" s="32"/>
      <c r="T35" s="32"/>
      <c r="U35" s="60"/>
      <c r="V35" s="32"/>
      <c r="W35" s="60"/>
      <c r="X35" s="32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32"/>
      <c r="AK35" s="60"/>
      <c r="AL35" s="60"/>
    </row>
    <row r="36" spans="1:43" ht="15.75" customHeight="1" x14ac:dyDescent="0.35">
      <c r="A36" s="60"/>
      <c r="B36" s="60"/>
      <c r="C36" s="60"/>
      <c r="D36" s="60"/>
      <c r="E36" s="60"/>
      <c r="F36" s="32"/>
      <c r="G36" s="60"/>
      <c r="H36" s="32"/>
      <c r="I36" s="60"/>
      <c r="J36" s="32"/>
      <c r="K36" s="60"/>
      <c r="L36" s="32"/>
      <c r="M36" s="60"/>
      <c r="N36" s="32"/>
      <c r="O36" s="60"/>
      <c r="P36" s="32"/>
      <c r="Q36" s="60"/>
      <c r="R36" s="32"/>
      <c r="S36" s="60"/>
      <c r="T36" s="32"/>
      <c r="U36" s="60"/>
      <c r="V36" s="32"/>
      <c r="W36" s="60"/>
      <c r="X36" s="32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32"/>
      <c r="AK36" s="60"/>
      <c r="AL36" s="60"/>
    </row>
    <row r="37" spans="1:43" ht="15.75" customHeight="1" x14ac:dyDescent="0.35"/>
    <row r="38" spans="1:43" ht="15.75" customHeight="1" x14ac:dyDescent="0.35">
      <c r="A38" s="116" t="s">
        <v>31</v>
      </c>
      <c r="B38" s="108"/>
      <c r="C38" s="1"/>
      <c r="F38" s="1" t="s">
        <v>21</v>
      </c>
      <c r="G38" s="1"/>
      <c r="H38" s="1"/>
      <c r="I38" s="1"/>
      <c r="K38" s="1"/>
      <c r="L38" s="1"/>
      <c r="M38" s="1"/>
      <c r="N38" s="1"/>
      <c r="O38" s="1"/>
      <c r="P38" s="1"/>
      <c r="Q38" s="1"/>
      <c r="S38" s="1"/>
      <c r="T38" s="1"/>
      <c r="U38" s="1" t="s">
        <v>33</v>
      </c>
      <c r="W38" s="1"/>
      <c r="X38" s="1"/>
      <c r="Z38" s="1"/>
      <c r="AA38" s="1"/>
      <c r="AB38" s="1"/>
      <c r="AC38" s="1"/>
      <c r="AD38" s="1"/>
      <c r="AE38" s="1"/>
      <c r="AF38" s="1" t="s">
        <v>44</v>
      </c>
      <c r="AG38" s="1"/>
      <c r="AH38" s="1"/>
      <c r="AI38" s="1"/>
      <c r="AJ38" s="1"/>
      <c r="AK38" s="1"/>
    </row>
    <row r="39" spans="1:43" ht="15.75" customHeight="1" x14ac:dyDescent="0.35">
      <c r="A39" s="1" t="s">
        <v>18</v>
      </c>
      <c r="B39" s="1"/>
      <c r="C39" s="1"/>
      <c r="F39" s="1" t="s">
        <v>34</v>
      </c>
      <c r="L39" s="1"/>
      <c r="M39" s="1"/>
      <c r="N39" s="1"/>
      <c r="O39" s="1"/>
      <c r="P39" s="1"/>
      <c r="Q39" s="1"/>
      <c r="S39" s="1"/>
      <c r="T39" s="1"/>
      <c r="U39" s="1" t="s">
        <v>35</v>
      </c>
      <c r="W39" s="1"/>
      <c r="X39" s="1"/>
      <c r="Z39" s="1"/>
      <c r="AA39" s="1"/>
      <c r="AB39" s="1"/>
      <c r="AC39" s="1"/>
      <c r="AD39" s="1"/>
      <c r="AE39" s="1"/>
      <c r="AF39" s="1" t="s">
        <v>39</v>
      </c>
      <c r="AG39" s="1"/>
      <c r="AH39" s="1"/>
      <c r="AI39" s="1"/>
      <c r="AJ39" s="1"/>
      <c r="AK39" s="1"/>
    </row>
    <row r="40" spans="1:43" ht="15.75" customHeight="1" x14ac:dyDescent="0.35"/>
    <row r="41" spans="1:43" ht="15.75" customHeight="1" x14ac:dyDescent="0.35"/>
    <row r="42" spans="1:43" ht="15.75" customHeight="1" x14ac:dyDescent="0.35"/>
    <row r="43" spans="1:43" ht="15.75" customHeight="1" x14ac:dyDescent="0.35">
      <c r="AQ43" s="33" t="s">
        <v>32</v>
      </c>
    </row>
    <row r="44" spans="1:43" ht="14.25" customHeight="1" x14ac:dyDescent="0.35"/>
    <row r="45" spans="1:43" ht="14.25" customHeight="1" x14ac:dyDescent="0.35"/>
    <row r="46" spans="1:43" ht="14.25" customHeight="1" x14ac:dyDescent="0.35"/>
    <row r="47" spans="1:43" ht="14.25" customHeight="1" x14ac:dyDescent="0.35"/>
    <row r="48" spans="1:43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</sheetData>
  <mergeCells count="52">
    <mergeCell ref="AP6:AP7"/>
    <mergeCell ref="AB33:AC33"/>
    <mergeCell ref="A38:B38"/>
    <mergeCell ref="R33:S33"/>
    <mergeCell ref="T33:U33"/>
    <mergeCell ref="V33:W33"/>
    <mergeCell ref="X33:Y33"/>
    <mergeCell ref="H33:I33"/>
    <mergeCell ref="J33:K33"/>
    <mergeCell ref="L33:M33"/>
    <mergeCell ref="N33:O33"/>
    <mergeCell ref="P33:Q33"/>
    <mergeCell ref="D32:D33"/>
    <mergeCell ref="E32:E33"/>
    <mergeCell ref="AJ6:AK7"/>
    <mergeCell ref="AL6:AM7"/>
    <mergeCell ref="N6:O7"/>
    <mergeCell ref="AL33:AM33"/>
    <mergeCell ref="AN33:AO33"/>
    <mergeCell ref="Z33:AA33"/>
    <mergeCell ref="P6:Q7"/>
    <mergeCell ref="R6:S7"/>
    <mergeCell ref="T6:U7"/>
    <mergeCell ref="V6:W7"/>
    <mergeCell ref="AF6:AG7"/>
    <mergeCell ref="AF33:AG33"/>
    <mergeCell ref="AJ33:AK33"/>
    <mergeCell ref="AD33:AE33"/>
    <mergeCell ref="X6:Y7"/>
    <mergeCell ref="Z6:AA7"/>
    <mergeCell ref="AP32:AP33"/>
    <mergeCell ref="F33:G33"/>
    <mergeCell ref="AD6:AE7"/>
    <mergeCell ref="A1:AL1"/>
    <mergeCell ref="A2:AL2"/>
    <mergeCell ref="A3:AL3"/>
    <mergeCell ref="A5:AL5"/>
    <mergeCell ref="A6:B7"/>
    <mergeCell ref="C6:E6"/>
    <mergeCell ref="F6:G7"/>
    <mergeCell ref="H6:I7"/>
    <mergeCell ref="J6:K7"/>
    <mergeCell ref="L6:M7"/>
    <mergeCell ref="AH6:AI7"/>
    <mergeCell ref="AB6:AC7"/>
    <mergeCell ref="AN6:AO7"/>
    <mergeCell ref="A32:B33"/>
    <mergeCell ref="A9:A17"/>
    <mergeCell ref="A18:A25"/>
    <mergeCell ref="A26:A31"/>
    <mergeCell ref="AH33:AI33"/>
    <mergeCell ref="C32:C33"/>
  </mergeCells>
  <pageMargins left="0.7" right="0.7" top="0.75" bottom="0.75" header="0.3" footer="0.3"/>
  <pageSetup paperSize="9" scale="65" fitToHeight="0" orientation="landscape" r:id="rId1"/>
  <rowBreaks count="1" manualBreakCount="1">
    <brk id="39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CSE-DS Workload</vt:lpstr>
      <vt:lpstr>3 batch workload</vt:lpstr>
      <vt:lpstr>'3 batch workload'!Print_Area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</dc:creator>
  <cp:lastModifiedBy>maya varghese</cp:lastModifiedBy>
  <cp:lastPrinted>2025-07-11T06:31:08Z</cp:lastPrinted>
  <dcterms:created xsi:type="dcterms:W3CDTF">2022-10-11T11:51:06Z</dcterms:created>
  <dcterms:modified xsi:type="dcterms:W3CDTF">2025-09-16T04:23:00Z</dcterms:modified>
</cp:coreProperties>
</file>