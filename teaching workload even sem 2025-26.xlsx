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aya\time-table\2025-26\even\"/>
    </mc:Choice>
  </mc:AlternateContent>
  <xr:revisionPtr revIDLastSave="0" documentId="13_ncr:1_{28EA4B11-51B4-4ACA-A710-B4D648FC63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9" r:id="rId1"/>
    <sheet name="print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Zhuwzl2STRaoFdU7T7Hxg00ApkETbKXhTF7tqMUiOkQ="/>
    </ext>
  </extLst>
</workbook>
</file>

<file path=xl/calcChain.xml><?xml version="1.0" encoding="utf-8"?>
<calcChain xmlns="http://schemas.openxmlformats.org/spreadsheetml/2006/main">
  <c r="K68" i="9" l="1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L181" i="7" l="1"/>
  <c r="L180" i="7"/>
  <c r="L175" i="7"/>
  <c r="L174" i="7"/>
  <c r="M174" i="7" s="1"/>
  <c r="L173" i="7"/>
  <c r="L172" i="7"/>
  <c r="L171" i="7"/>
  <c r="M171" i="7" s="1"/>
  <c r="L170" i="7"/>
  <c r="L169" i="7"/>
  <c r="M169" i="7" s="1"/>
  <c r="L168" i="7"/>
  <c r="L167" i="7"/>
  <c r="M167" i="7" s="1"/>
  <c r="L166" i="7"/>
  <c r="L165" i="7"/>
  <c r="L164" i="7"/>
  <c r="L154" i="7"/>
  <c r="L153" i="7"/>
  <c r="L152" i="7"/>
  <c r="L151" i="7"/>
  <c r="L150" i="7"/>
  <c r="L149" i="7"/>
  <c r="L148" i="7"/>
  <c r="L147" i="7"/>
  <c r="L146" i="7"/>
  <c r="M146" i="7" s="1"/>
  <c r="L144" i="7"/>
  <c r="L143" i="7"/>
  <c r="L142" i="7"/>
  <c r="M142" i="7" s="1"/>
  <c r="L141" i="7"/>
  <c r="L140" i="7"/>
  <c r="L139" i="7"/>
  <c r="M138" i="7" s="1"/>
  <c r="L137" i="7"/>
  <c r="L136" i="7"/>
  <c r="L135" i="7"/>
  <c r="L134" i="7"/>
  <c r="M134" i="7" s="1"/>
  <c r="L133" i="7"/>
  <c r="L132" i="7"/>
  <c r="L131" i="7"/>
  <c r="L130" i="7"/>
  <c r="L128" i="7"/>
  <c r="L127" i="7"/>
  <c r="M127" i="7" s="1"/>
  <c r="L126" i="7"/>
  <c r="L125" i="7"/>
  <c r="L124" i="7"/>
  <c r="L123" i="7"/>
  <c r="L122" i="7"/>
  <c r="L121" i="7"/>
  <c r="L120" i="7"/>
  <c r="M120" i="7" s="1"/>
  <c r="L119" i="7"/>
  <c r="L118" i="7"/>
  <c r="L117" i="7"/>
  <c r="L116" i="7"/>
  <c r="M116" i="7" s="1"/>
  <c r="L115" i="7"/>
  <c r="L113" i="7"/>
  <c r="L112" i="7"/>
  <c r="L111" i="7"/>
  <c r="L110" i="7"/>
  <c r="M110" i="7" s="1"/>
  <c r="L109" i="7"/>
  <c r="L108" i="7"/>
  <c r="L107" i="7"/>
  <c r="L106" i="7"/>
  <c r="L105" i="7"/>
  <c r="L104" i="7"/>
  <c r="L103" i="7"/>
  <c r="L102" i="7"/>
  <c r="L101" i="7"/>
  <c r="L100" i="7"/>
  <c r="M100" i="7" s="1"/>
  <c r="L99" i="7"/>
  <c r="L98" i="7"/>
  <c r="L97" i="7"/>
  <c r="L96" i="7"/>
  <c r="L95" i="7"/>
  <c r="L94" i="7"/>
  <c r="L93" i="7"/>
  <c r="L92" i="7"/>
  <c r="L91" i="7"/>
  <c r="L90" i="7"/>
  <c r="M90" i="7" s="1"/>
  <c r="L89" i="7"/>
  <c r="L88" i="7"/>
  <c r="L87" i="7"/>
  <c r="L86" i="7"/>
  <c r="L85" i="7"/>
  <c r="M85" i="7" s="1"/>
  <c r="L84" i="7"/>
  <c r="L83" i="7"/>
  <c r="L82" i="7"/>
  <c r="L81" i="7"/>
  <c r="L80" i="7"/>
  <c r="L79" i="7"/>
  <c r="L78" i="7"/>
  <c r="M78" i="7" s="1"/>
  <c r="L77" i="7"/>
  <c r="L76" i="7"/>
  <c r="L75" i="7"/>
  <c r="L74" i="7"/>
  <c r="L73" i="7"/>
  <c r="L72" i="7"/>
  <c r="M72" i="7" s="1"/>
  <c r="L71" i="7"/>
  <c r="L70" i="7"/>
  <c r="L69" i="7"/>
  <c r="L68" i="7"/>
  <c r="L67" i="7"/>
  <c r="M67" i="7" s="1"/>
  <c r="L66" i="7"/>
  <c r="L65" i="7"/>
  <c r="L64" i="7"/>
  <c r="L63" i="7"/>
  <c r="M63" i="7" s="1"/>
  <c r="L62" i="7"/>
  <c r="L61" i="7"/>
  <c r="L59" i="7"/>
  <c r="L58" i="7"/>
  <c r="L57" i="7"/>
  <c r="L56" i="7"/>
  <c r="L54" i="7"/>
  <c r="L53" i="7"/>
  <c r="M53" i="7" s="1"/>
  <c r="L52" i="7"/>
  <c r="L51" i="7"/>
  <c r="L50" i="7"/>
  <c r="L49" i="7"/>
  <c r="L48" i="7"/>
  <c r="L47" i="7"/>
  <c r="L46" i="7"/>
  <c r="L45" i="7"/>
  <c r="L44" i="7"/>
  <c r="L43" i="7"/>
  <c r="M43" i="7" s="1"/>
  <c r="L42" i="7"/>
  <c r="L41" i="7"/>
  <c r="L40" i="7"/>
  <c r="L39" i="7"/>
  <c r="L38" i="7"/>
  <c r="M38" i="7" s="1"/>
  <c r="L37" i="7"/>
  <c r="L36" i="7"/>
  <c r="L35" i="7"/>
  <c r="L34" i="7"/>
  <c r="L33" i="7"/>
  <c r="L32" i="7"/>
  <c r="L31" i="7"/>
  <c r="L30" i="7"/>
  <c r="M30" i="7" s="1"/>
  <c r="L29" i="7"/>
  <c r="L28" i="7"/>
  <c r="L27" i="7"/>
  <c r="L26" i="7"/>
  <c r="M26" i="7" s="1"/>
  <c r="L25" i="7"/>
  <c r="L24" i="7"/>
  <c r="L23" i="7"/>
  <c r="L22" i="7"/>
  <c r="L21" i="7"/>
  <c r="L20" i="7"/>
  <c r="L19" i="7"/>
  <c r="L18" i="7"/>
  <c r="M18" i="7" s="1"/>
  <c r="L17" i="7"/>
  <c r="L16" i="7"/>
  <c r="L15" i="7"/>
  <c r="L14" i="7"/>
  <c r="M14" i="7" s="1"/>
  <c r="L13" i="7"/>
  <c r="L12" i="7"/>
  <c r="G159" i="7" s="1"/>
  <c r="L11" i="7"/>
  <c r="L10" i="7"/>
  <c r="L9" i="7"/>
  <c r="L7" i="7"/>
  <c r="M152" i="7" l="1"/>
  <c r="L156" i="7"/>
  <c r="M105" i="7"/>
  <c r="M58" i="7"/>
  <c r="M22" i="7"/>
  <c r="M34" i="7"/>
  <c r="M95" i="7"/>
  <c r="M164" i="7"/>
  <c r="M176" i="7" s="1"/>
  <c r="L187" i="7" s="1"/>
  <c r="L182" i="7"/>
  <c r="D185" i="7"/>
  <c r="M155" i="7" s="1"/>
  <c r="L185" i="7" l="1"/>
  <c r="L188" i="7" s="1"/>
</calcChain>
</file>

<file path=xl/sharedStrings.xml><?xml version="1.0" encoding="utf-8"?>
<sst xmlns="http://schemas.openxmlformats.org/spreadsheetml/2006/main" count="892" uniqueCount="248">
  <si>
    <t>Department of Computer Engineering - Faculty Workload</t>
  </si>
  <si>
    <t>Sr. 
  No.</t>
  </si>
  <si>
    <t>Staff Name</t>
  </si>
  <si>
    <t>Designation</t>
  </si>
  <si>
    <t>Class</t>
  </si>
  <si>
    <t>Subject / Lab</t>
  </si>
  <si>
    <t>Theory Load</t>
  </si>
  <si>
    <t>Project Load</t>
  </si>
  <si>
    <t>Practical Load Instructor</t>
  </si>
  <si>
    <t>Total Load Rowwise</t>
  </si>
  <si>
    <t>CAP Contribution</t>
  </si>
  <si>
    <t>Departmental Admin/ development load ( Responsibility given by Head of Department)</t>
  </si>
  <si>
    <t>College level Admin- development load/ In charge of Committee / members of committee as allotted by Principal</t>
  </si>
  <si>
    <t>Batch 1</t>
  </si>
  <si>
    <t>Batch 2</t>
  </si>
  <si>
    <t>Batch 3</t>
  </si>
  <si>
    <t>Batch 4</t>
  </si>
  <si>
    <t>Regular Exam (1.5 times of sanctioned intake)</t>
  </si>
  <si>
    <t>KT Exam (no of appearing students)</t>
  </si>
  <si>
    <t>SE PROJECT GROUP</t>
  </si>
  <si>
    <t>TE PROJECT GROUP</t>
  </si>
  <si>
    <t>BE PROJECT GROUP</t>
  </si>
  <si>
    <t>DR. SEEMA BIDEY (SB)</t>
  </si>
  <si>
    <t>Professor</t>
  </si>
  <si>
    <t>all</t>
  </si>
  <si>
    <t>NA</t>
  </si>
  <si>
    <t>2 RESEARCH PAPER</t>
  </si>
  <si>
    <t>HOD, Advisory Board</t>
  </si>
  <si>
    <t>Academic afair committee</t>
  </si>
  <si>
    <t>BE</t>
  </si>
  <si>
    <t>DR. SATISH SALUNKHE (SSS)</t>
  </si>
  <si>
    <t>SE</t>
  </si>
  <si>
    <t>Mentor, FDP/STTP/Expert Talk</t>
  </si>
  <si>
    <t>Phd Addmission Incharge, R&amp; D Project Policies and monitoring Incharge</t>
  </si>
  <si>
    <t>SE-B</t>
  </si>
  <si>
    <t>TE A</t>
  </si>
  <si>
    <t>MNP</t>
  </si>
  <si>
    <t>MR. MATHUR RAVI RAJENDRANATH (RRM)</t>
  </si>
  <si>
    <t>Adjunct Professor</t>
  </si>
  <si>
    <t>1 RESEARCH PAPER</t>
  </si>
  <si>
    <t>Industry institute and partnership &amp; training and placement member(Mentor, IIPC)</t>
  </si>
  <si>
    <t>MR. CHITRE DNYANOBA KHANDU (DKC)</t>
  </si>
  <si>
    <t>Associate Professor</t>
  </si>
  <si>
    <t>SE-C</t>
  </si>
  <si>
    <t>Mentor, APC, CSI Coordinator, Advisory Board, Student Council/Fairwel</t>
  </si>
  <si>
    <t>Academic afair committee, Canteen and health Incharge, Ek bharat Shreshta bharat Inharge</t>
  </si>
  <si>
    <t>SE C</t>
  </si>
  <si>
    <t>Innovation cell member, Engineering product innovation center member</t>
  </si>
  <si>
    <t>MRS. PALVE ROHINI DHARMANATH (RDP)</t>
  </si>
  <si>
    <t>Clas Advisor(SE A), Mentor, NBA/ NAAC member, PAC COORDINATOR</t>
  </si>
  <si>
    <t>Conference/Equinox Member</t>
  </si>
  <si>
    <t>TE C</t>
  </si>
  <si>
    <t>TE(A/B/C) Project Coordinator, Faculty Achievement</t>
  </si>
  <si>
    <t>R&amp; D Project Policies and monitoring member</t>
  </si>
  <si>
    <t>TE B</t>
  </si>
  <si>
    <t>MR. SHAHABADE RAMESH VISHWANATH (RVS)</t>
  </si>
  <si>
    <t>Assistant Professor</t>
  </si>
  <si>
    <t>unnat bharat abhiyan member</t>
  </si>
  <si>
    <t>BE B</t>
  </si>
  <si>
    <t>SE B</t>
  </si>
  <si>
    <t>MRS. PATIL ROHINI ANANT (RAP)</t>
  </si>
  <si>
    <t>FDP member</t>
  </si>
  <si>
    <t>MRS. GAIKWAD UJWALA VISHWAJIT (UVG)</t>
  </si>
  <si>
    <t>Women development cell Member</t>
  </si>
  <si>
    <t>SE A</t>
  </si>
  <si>
    <t>BE B project Coordinator, Lab incharge (331)</t>
  </si>
  <si>
    <t>MR. BAVKAR DNYANESHWAR MADHUKAR (DMB)</t>
  </si>
  <si>
    <t>Class Advisor(BE C), Lab incharge (213) , Student Achievement, Industry visit</t>
  </si>
  <si>
    <t>Innovation cell member, Technical/Avalon Incharge, Hostel Committee Incharge</t>
  </si>
  <si>
    <t>MR. SAKURE KISHOR SHAMRAO (KSS)</t>
  </si>
  <si>
    <t>Mentor, APC, IQAC, Advisory Board, Student Council/Fairwell</t>
  </si>
  <si>
    <t>Academic afair committee member, NPTEl Incharge</t>
  </si>
  <si>
    <t>MR. HOLE PRAVIN BASAVRAJ (PBH)</t>
  </si>
  <si>
    <t>APC, Mentor, Lab incharge (228), IQAC, Timetable committee Advisor, Advisory Board</t>
  </si>
  <si>
    <t>ERP incharge, Accredeation committee member</t>
  </si>
  <si>
    <t>Library committee member</t>
  </si>
  <si>
    <t>TIME TABLE COMMITTEE member, Higher education cell member, Alumni cell member, Technical/Avalon Member, Prerna Gate</t>
  </si>
  <si>
    <t>Mrs. Kirti Suryawanshi (KMS)</t>
  </si>
  <si>
    <t>Mentor, Result analysis, exam team member</t>
  </si>
  <si>
    <t>Mrs. Pritee Patil(PP)</t>
  </si>
  <si>
    <t>CSI member. Mentor</t>
  </si>
  <si>
    <t>Mrs. Minal R. Chaudhari(MRC)</t>
  </si>
  <si>
    <t>Mrs. Smruthy C. S.(SCS)</t>
  </si>
  <si>
    <t>Class Advisor(TE B)</t>
  </si>
  <si>
    <t>Prof. Dhanashri M Dhavale(DMD)</t>
  </si>
  <si>
    <t>Class Advisor(TE A)</t>
  </si>
  <si>
    <t>Mrs. Pooja P. Singh (PPS)</t>
  </si>
  <si>
    <t>Class Advisor(BE A), Be project Coordinator (BE B)</t>
  </si>
  <si>
    <t>Load to other departments:</t>
  </si>
  <si>
    <t>TOTAL LOAD</t>
  </si>
  <si>
    <t>BE PROJECT LOAD</t>
  </si>
  <si>
    <t>TOTAL LOAD GIVEN TO OTHER DEPT</t>
  </si>
  <si>
    <t>TOTAL LOAD OF COMP</t>
  </si>
  <si>
    <t>HOD</t>
  </si>
  <si>
    <t>NAAC</t>
  </si>
  <si>
    <t>Load Distribution (FH - 2023)                                                                                                                                                                                                    Date: 1/2/2023</t>
  </si>
  <si>
    <t>Sr. 
 No.</t>
  </si>
  <si>
    <t>Theory  Load</t>
  </si>
  <si>
    <t>Practical  Load  Instructor</t>
  </si>
  <si>
    <t>Total  Load</t>
  </si>
  <si>
    <t xml:space="preserve">Guidance / counselling for Projects </t>
  </si>
  <si>
    <t xml:space="preserve">R&amp;D Workload                                              ( Head of department needs to identify as per requirement of University/ AICTE/NBA/NAAC) </t>
  </si>
  <si>
    <t xml:space="preserve">No of UG  projects Group </t>
  </si>
  <si>
    <t xml:space="preserve">No of PG  projects Group </t>
  </si>
  <si>
    <t xml:space="preserve">No of PhD Students </t>
  </si>
  <si>
    <t>BE -C</t>
  </si>
  <si>
    <t>ADS</t>
  </si>
  <si>
    <t>PR</t>
  </si>
  <si>
    <t>AI</t>
  </si>
  <si>
    <t>DBMS</t>
  </si>
  <si>
    <t>AOA</t>
  </si>
  <si>
    <t xml:space="preserve">MR. GAIKWAD VISHWAJIT BALASO (VBG)                 </t>
  </si>
  <si>
    <t xml:space="preserve"> APC(PG)IQAC, Disipline,  Mentor</t>
  </si>
  <si>
    <t>MP</t>
  </si>
  <si>
    <t>DR. SHAVETA MALIK (SM)</t>
  </si>
  <si>
    <t>SE(A/B/C) Project Coordinator, Mentor, Lab incharge (336), R &amp; D, Pac comitte member, Class Advisor(BE B)</t>
  </si>
  <si>
    <t>Conference/Equinox Member, Industry institute and partnership &amp; training and placement member</t>
  </si>
  <si>
    <t>BE A</t>
  </si>
  <si>
    <t xml:space="preserve">
Dr. SIDHARTH HARIHARAN (SHK)</t>
  </si>
  <si>
    <t>MC</t>
  </si>
  <si>
    <t>,Class Advisor(TE C) Alumni Incharge,  Budget Request Dead Stock</t>
  </si>
  <si>
    <t>SPCC</t>
  </si>
  <si>
    <t xml:space="preserve"> Lab incharge (326), Result Analysis,  Exam team, </t>
  </si>
  <si>
    <t>DC</t>
  </si>
  <si>
    <t>OS</t>
  </si>
  <si>
    <t>Mentor,  non teaching training, BE project Coordinator(BE A), PAC Member</t>
  </si>
  <si>
    <t xml:space="preserve">MRS. MATE PRAMILA BHASKARRAO (PBM)              
 </t>
  </si>
  <si>
    <t xml:space="preserve"> Engineering product innovation center member</t>
  </si>
  <si>
    <t>SMA</t>
  </si>
  <si>
    <t>BE C</t>
  </si>
  <si>
    <t xml:space="preserve">MR. SHUDHODHAN BOKEFODE (SBB)                              </t>
  </si>
  <si>
    <t xml:space="preserve"> Lab incharge (333),  EXAM Member, FDP Organizing and attened data</t>
  </si>
  <si>
    <t xml:space="preserve">MR. NILESH KULAL (NK)
</t>
  </si>
  <si>
    <t>SBL- PH</t>
  </si>
  <si>
    <t xml:space="preserve">Clas Advisor(SE B), T &amp; P  </t>
  </si>
  <si>
    <t>Learning management system committee member, Student competetion andparticipation member</t>
  </si>
  <si>
    <t>SE  C</t>
  </si>
  <si>
    <t>MS.MOHINI MISALE (MDM)</t>
  </si>
  <si>
    <t>Time table committee incharge, Mentor,  Lab incharge (330), Alumni Incharge, Graduate exit Survey</t>
  </si>
  <si>
    <t>MR.MULE SOMNATH SHAMRAO (SSM)</t>
  </si>
  <si>
    <t>Clas Advisor(SE C), BE C project Coordinator, Time table committee member,  Lab incharge (329)</t>
  </si>
  <si>
    <t>Mrs. Pradnya Jadhav</t>
  </si>
  <si>
    <t>SBL- CCL</t>
  </si>
  <si>
    <t>IOT</t>
  </si>
  <si>
    <t>SBL-CCL</t>
  </si>
  <si>
    <t>CCL</t>
  </si>
  <si>
    <t>Mrs. Dnyanada N. Dafale(DND)</t>
  </si>
  <si>
    <t>CSS</t>
  </si>
  <si>
    <t xml:space="preserve">exam team member. </t>
  </si>
  <si>
    <t xml:space="preserve">TE B </t>
  </si>
  <si>
    <t>Prof.Sushma Rathi (SR)</t>
  </si>
  <si>
    <t>Prof. Sushant Sawant (SSS2) -(Visiting FACULTY)</t>
  </si>
  <si>
    <t>Priyanka Sherkhane (PS) - Online</t>
  </si>
  <si>
    <t>Mrs. Saima Sayyed</t>
  </si>
  <si>
    <t>Mrs.Sumedha Partil</t>
  </si>
  <si>
    <t xml:space="preserve">MC </t>
  </si>
  <si>
    <t>GE/NL4 Satish Sirsat - Online</t>
  </si>
  <si>
    <t>EM</t>
  </si>
  <si>
    <t>Prof.  Abhishekh Jadhav</t>
  </si>
  <si>
    <t>AM IV</t>
  </si>
  <si>
    <t>Prof. Varsha Pande</t>
  </si>
  <si>
    <t>Prof. R. V Chimankare</t>
  </si>
  <si>
    <t xml:space="preserve">SE B </t>
  </si>
  <si>
    <t>Prof.Shailaja Kadam</t>
  </si>
  <si>
    <t>Prof. A. A Deshmukh</t>
  </si>
  <si>
    <t>From other department load</t>
  </si>
  <si>
    <t>TE ELX</t>
  </si>
  <si>
    <t>Prof.Sushma Rathi</t>
  </si>
  <si>
    <t>TOTAL LOAD TAKEN  OTHER dept</t>
  </si>
  <si>
    <t>BE PROJECT 60 HRS UNALLOTED</t>
  </si>
  <si>
    <t>MISS. MOHINI MISALE                                                          MRS. KIRTI SURYAVANSHI                                    
 (TIME TABLE I/C)</t>
  </si>
  <si>
    <t>DR. L. K. RAGHA
 (PRINCIPAL)</t>
  </si>
  <si>
    <t>Department of Computer Science and Engineering Data Science (CSEDS) - Faculty Workload</t>
  </si>
  <si>
    <t>DR. YOGESH PINGALE (YP)</t>
  </si>
  <si>
    <t>DR. VIKRANT AGASKAR (VA)</t>
  </si>
  <si>
    <t>ICCHANSHU JAISWAL (IJ)</t>
  </si>
  <si>
    <t>\ JANISA PEREIRA (JP)</t>
  </si>
  <si>
    <t>\ LEENA RAUT (LR)</t>
  </si>
  <si>
    <t>\ NISHIGANDHA PAGARE (NP)</t>
  </si>
  <si>
    <t>\ SAYALEE SUSVILKAR (SS)</t>
  </si>
  <si>
    <t>\ ANJALI PARDESHI (AP)</t>
  </si>
  <si>
    <t>\ SHILPA BANE (SB)</t>
  </si>
  <si>
    <t>\ AMMRAH SHAIKH (AS)</t>
  </si>
  <si>
    <t xml:space="preserve">\ SHITAL CHEKE (SC)                                                                   </t>
  </si>
  <si>
    <t>\ MAYA V. CHAKKEDATH V. (MVC)</t>
  </si>
  <si>
    <t>SE-3</t>
  </si>
  <si>
    <t>SE-2</t>
  </si>
  <si>
    <t>TE-2</t>
  </si>
  <si>
    <t>SEPM</t>
  </si>
  <si>
    <t>-</t>
  </si>
  <si>
    <t>TE-1</t>
  </si>
  <si>
    <t>ML</t>
  </si>
  <si>
    <t>SE-1</t>
  </si>
  <si>
    <t>OE</t>
  </si>
  <si>
    <t>CC</t>
  </si>
  <si>
    <t>TE-3</t>
  </si>
  <si>
    <t>DAV</t>
  </si>
  <si>
    <t>BE-1</t>
  </si>
  <si>
    <t>AAI</t>
  </si>
  <si>
    <t>CT</t>
  </si>
  <si>
    <t>IVP</t>
  </si>
  <si>
    <t>BE Honors</t>
  </si>
  <si>
    <t>TWSMA</t>
  </si>
  <si>
    <t>TE- Honors</t>
  </si>
  <si>
    <t>GAMING AI</t>
  </si>
  <si>
    <t>BE-DLOC-05</t>
  </si>
  <si>
    <t>AIFB</t>
  </si>
  <si>
    <t>BE-DLOC-06</t>
  </si>
  <si>
    <t>FE-3</t>
  </si>
  <si>
    <t>PCC</t>
  </si>
  <si>
    <t>FE-1</t>
  </si>
  <si>
    <t>\ Bhavika Joshi (BJ)</t>
  </si>
  <si>
    <t>FE-2</t>
  </si>
  <si>
    <t>ILOC-2</t>
  </si>
  <si>
    <t>MDM</t>
  </si>
  <si>
    <t>TE Honors</t>
  </si>
  <si>
    <t>Gaming AI</t>
  </si>
  <si>
    <t>TE 2 &amp;3 DLOC-02</t>
  </si>
  <si>
    <t>TE 1 DLOC-02</t>
  </si>
  <si>
    <t>TE 1, 2 &amp;3 DLOC-02</t>
  </si>
  <si>
    <t>BE ILOC</t>
  </si>
  <si>
    <t>MMS</t>
  </si>
  <si>
    <t>\ SEJAL D'MELLO (SD)</t>
  </si>
  <si>
    <t>\ NEHA RAUT(NMR)</t>
  </si>
  <si>
    <t>\ NIVEDHA RAUT (NKR)</t>
  </si>
  <si>
    <t>--</t>
  </si>
  <si>
    <t>3hrs SE-2 OS lectures</t>
  </si>
  <si>
    <t>2 hrs TE honors lecture</t>
  </si>
  <si>
    <t>3hrs TE-3 ML lecture</t>
  </si>
  <si>
    <t>3 hrs SE 3 MDM lecture                  1hr SE3 B1 MDM practical</t>
  </si>
  <si>
    <t>3hrs TE 1 DLOC-IVP Lecture</t>
  </si>
  <si>
    <t>4 hrs BE honors lecture</t>
  </si>
  <si>
    <t>3 hrs MMS dept lecture                  1hr TE2 B1 CSS practical</t>
  </si>
  <si>
    <t>3 hrs SE-1 CT lecture                  1hr TE1 B4 ML practical</t>
  </si>
  <si>
    <t>2 hrs TE honors lecture                                      2hrs SE-1 B1 DBMS practical</t>
  </si>
  <si>
    <t>3 hrs TE 3 CSS lecture                  1hr TE3 B1 CSS practical</t>
  </si>
  <si>
    <t>2hrs SE-2 B2 DBMS practical</t>
  </si>
  <si>
    <t>2hrs SE-2 B1 OS practicals</t>
  </si>
  <si>
    <t>2hrs TE-3 B4 ML practical</t>
  </si>
  <si>
    <t>3hrs TE-1 SEPM lecture</t>
  </si>
  <si>
    <t>1 hr FE-2 B2 PCC practical</t>
  </si>
  <si>
    <t>2hr SE-1  OE lecture</t>
  </si>
  <si>
    <t>Major project load</t>
  </si>
  <si>
    <t>Mini Project Load</t>
  </si>
  <si>
    <t>Total Project Load</t>
  </si>
  <si>
    <t>Total Teaching Load</t>
  </si>
  <si>
    <t>Extra Teaching Load</t>
  </si>
  <si>
    <t>Extra Teaching load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</si>
</sst>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b/>
      <sz val="28"/>
      <color theme="1"/>
      <name val="Cambria"/>
      <family val="1"/>
    </font>
    <font>
      <sz val="10"/>
      <name val="Arial"/>
      <family val="2"/>
    </font>
    <font>
      <sz val="28"/>
      <color rgb="FF000000"/>
      <name val="Arial"/>
      <family val="2"/>
    </font>
    <font>
      <b/>
      <sz val="35"/>
      <color rgb="FF000000"/>
      <name val="Cambria"/>
      <family val="1"/>
    </font>
    <font>
      <sz val="35"/>
      <color rgb="FF000000"/>
      <name val="Arial"/>
      <family val="2"/>
    </font>
    <font>
      <sz val="35"/>
      <color rgb="FF000000"/>
      <name val="Cambria"/>
      <family val="1"/>
    </font>
    <font>
      <sz val="35"/>
      <color theme="1"/>
      <name val="Cambria"/>
      <family val="1"/>
    </font>
    <font>
      <sz val="26"/>
      <color rgb="FF000000"/>
      <name val="Arial"/>
      <family val="2"/>
    </font>
    <font>
      <sz val="26"/>
      <color rgb="FF000000"/>
      <name val="Cambria"/>
      <family val="1"/>
    </font>
    <font>
      <sz val="10"/>
      <color rgb="FF000000"/>
      <name val="Arial"/>
      <family val="2"/>
    </font>
    <font>
      <b/>
      <sz val="36"/>
      <color rgb="FF000000"/>
      <name val="Arial"/>
      <family val="2"/>
    </font>
    <font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mbria"/>
      <family val="1"/>
    </font>
    <font>
      <sz val="18"/>
      <color rgb="FF000000"/>
      <name val="Arial"/>
      <family val="2"/>
    </font>
    <font>
      <sz val="10"/>
      <color theme="1"/>
      <name val="Arial"/>
      <family val="2"/>
    </font>
    <font>
      <b/>
      <sz val="35"/>
      <color theme="1"/>
      <name val="Cambria"/>
      <family val="1"/>
    </font>
    <font>
      <sz val="35"/>
      <color theme="1"/>
      <name val="Arial"/>
      <family val="2"/>
    </font>
    <font>
      <sz val="26"/>
      <color theme="1"/>
      <name val="Cambria"/>
      <family val="1"/>
    </font>
    <font>
      <sz val="26"/>
      <color theme="1"/>
      <name val="Arial"/>
      <family val="2"/>
    </font>
    <font>
      <b/>
      <sz val="36"/>
      <color rgb="FF000000"/>
      <name val="Arial Black"/>
      <family val="2"/>
    </font>
    <font>
      <sz val="35"/>
      <color rgb="FF000000"/>
      <name val="Calibri"/>
      <family val="2"/>
    </font>
    <font>
      <b/>
      <sz val="28"/>
      <color theme="1"/>
      <name val="Times New Roman"/>
      <family val="1"/>
    </font>
    <font>
      <sz val="10"/>
      <color rgb="FF000000"/>
      <name val="Times New Roman"/>
      <family val="1"/>
    </font>
    <font>
      <b/>
      <sz val="35"/>
      <color rgb="FF000000"/>
      <name val="Times New Roman"/>
      <family val="1"/>
    </font>
    <font>
      <sz val="35"/>
      <color rgb="FF000000"/>
      <name val="Times New Roman"/>
      <family val="1"/>
    </font>
    <font>
      <sz val="34"/>
      <color rgb="FF000000"/>
      <name val="Times New Roman"/>
      <family val="1"/>
    </font>
    <font>
      <sz val="35"/>
      <color theme="1"/>
      <name val="Times New Roman"/>
      <family val="1"/>
    </font>
    <font>
      <b/>
      <sz val="19"/>
      <color rgb="FF000000"/>
      <name val="Times New Roman"/>
      <family val="1"/>
    </font>
    <font>
      <b/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00B050"/>
        <bgColor rgb="FF00B050"/>
      </patternFill>
    </fill>
    <fill>
      <patternFill patternType="solid">
        <fgColor rgb="FF8DB5F8"/>
        <bgColor rgb="FF8DB5F8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3" fillId="0" borderId="0" xfId="0" applyFont="1"/>
    <xf numFmtId="0" fontId="5" fillId="0" borderId="0" xfId="0" applyFont="1"/>
    <xf numFmtId="0" fontId="5" fillId="2" borderId="13" xfId="0" applyFont="1" applyFill="1" applyBorder="1"/>
    <xf numFmtId="0" fontId="8" fillId="0" borderId="0" xfId="0" applyFont="1"/>
    <xf numFmtId="0" fontId="10" fillId="0" borderId="0" xfId="0" applyFont="1"/>
    <xf numFmtId="0" fontId="12" fillId="0" borderId="0" xfId="0" applyFont="1"/>
    <xf numFmtId="0" fontId="15" fillId="0" borderId="0" xfId="0" applyFont="1"/>
    <xf numFmtId="0" fontId="17" fillId="3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18" fillId="2" borderId="14" xfId="0" applyFont="1" applyFill="1" applyBorder="1"/>
    <xf numFmtId="0" fontId="6" fillId="6" borderId="14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5" fillId="2" borderId="14" xfId="0" applyFont="1" applyFill="1" applyBorder="1"/>
    <xf numFmtId="0" fontId="5" fillId="0" borderId="14" xfId="0" applyFont="1" applyBorder="1"/>
    <xf numFmtId="0" fontId="18" fillId="2" borderId="14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10" fillId="0" borderId="14" xfId="0" applyFont="1" applyBorder="1"/>
    <xf numFmtId="0" fontId="7" fillId="2" borderId="12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vertical="center"/>
    </xf>
    <xf numFmtId="0" fontId="7" fillId="7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8" fillId="0" borderId="14" xfId="0" applyFont="1" applyBorder="1"/>
    <xf numFmtId="0" fontId="18" fillId="0" borderId="14" xfId="0" applyFont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 vertical="center"/>
    </xf>
    <xf numFmtId="0" fontId="18" fillId="3" borderId="14" xfId="0" applyFont="1" applyFill="1" applyBorder="1"/>
    <xf numFmtId="0" fontId="6" fillId="2" borderId="25" xfId="0" applyFont="1" applyFill="1" applyBorder="1" applyAlignment="1">
      <alignment horizontal="center"/>
    </xf>
    <xf numFmtId="0" fontId="7" fillId="0" borderId="14" xfId="0" applyFont="1" applyBorder="1"/>
    <xf numFmtId="0" fontId="6" fillId="2" borderId="29" xfId="0" applyFont="1" applyFill="1" applyBorder="1" applyAlignment="1">
      <alignment horizontal="center"/>
    </xf>
    <xf numFmtId="0" fontId="6" fillId="8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/>
    <xf numFmtId="0" fontId="6" fillId="3" borderId="14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8" fillId="2" borderId="25" xfId="0" applyFont="1" applyFill="1" applyBorder="1"/>
    <xf numFmtId="0" fontId="7" fillId="2" borderId="25" xfId="0" applyFont="1" applyFill="1" applyBorder="1" applyAlignment="1">
      <alignment horizontal="center"/>
    </xf>
    <xf numFmtId="0" fontId="5" fillId="2" borderId="25" xfId="0" applyFont="1" applyFill="1" applyBorder="1"/>
    <xf numFmtId="0" fontId="5" fillId="0" borderId="14" xfId="0" applyFont="1" applyBorder="1" applyAlignment="1">
      <alignment horizontal="center" vertical="center"/>
    </xf>
    <xf numFmtId="0" fontId="16" fillId="0" borderId="14" xfId="0" applyFont="1" applyBorder="1"/>
    <xf numFmtId="0" fontId="18" fillId="2" borderId="19" xfId="0" applyFont="1" applyFill="1" applyBorder="1"/>
    <xf numFmtId="0" fontId="16" fillId="0" borderId="9" xfId="0" applyFont="1" applyBorder="1"/>
    <xf numFmtId="0" fontId="18" fillId="2" borderId="24" xfId="0" applyFont="1" applyFill="1" applyBorder="1"/>
    <xf numFmtId="0" fontId="18" fillId="2" borderId="25" xfId="0" applyFont="1" applyFill="1" applyBorder="1" applyAlignment="1">
      <alignment horizontal="center" vertical="center"/>
    </xf>
    <xf numFmtId="0" fontId="16" fillId="0" borderId="7" xfId="0" applyFont="1" applyBorder="1"/>
    <xf numFmtId="0" fontId="7" fillId="6" borderId="25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5" xfId="0" applyFont="1" applyBorder="1"/>
    <xf numFmtId="0" fontId="5" fillId="0" borderId="23" xfId="0" applyFont="1" applyBorder="1"/>
    <xf numFmtId="0" fontId="7" fillId="2" borderId="2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/>
    </xf>
    <xf numFmtId="0" fontId="18" fillId="2" borderId="12" xfId="0" applyFont="1" applyFill="1" applyBorder="1"/>
    <xf numFmtId="0" fontId="18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 wrapText="1"/>
    </xf>
    <xf numFmtId="0" fontId="20" fillId="2" borderId="14" xfId="0" applyFont="1" applyFill="1" applyBorder="1"/>
    <xf numFmtId="0" fontId="20" fillId="2" borderId="14" xfId="0" applyFont="1" applyFill="1" applyBorder="1" applyAlignment="1">
      <alignment horizontal="center" vertical="center"/>
    </xf>
    <xf numFmtId="0" fontId="10" fillId="2" borderId="13" xfId="0" applyFont="1" applyFill="1" applyBorder="1"/>
    <xf numFmtId="0" fontId="12" fillId="2" borderId="13" xfId="0" applyFont="1" applyFill="1" applyBorder="1"/>
    <xf numFmtId="0" fontId="18" fillId="2" borderId="14" xfId="0" applyFont="1" applyFill="1" applyBorder="1" applyAlignment="1">
      <alignment wrapText="1"/>
    </xf>
    <xf numFmtId="0" fontId="18" fillId="2" borderId="12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/>
    </xf>
    <xf numFmtId="0" fontId="18" fillId="2" borderId="13" xfId="0" applyFont="1" applyFill="1" applyBorder="1"/>
    <xf numFmtId="0" fontId="19" fillId="2" borderId="13" xfId="0" applyFont="1" applyFill="1" applyBorder="1" applyAlignment="1">
      <alignment horizontal="center" vertical="center" wrapText="1"/>
    </xf>
    <xf numFmtId="0" fontId="20" fillId="2" borderId="13" xfId="0" applyFont="1" applyFill="1" applyBorder="1"/>
    <xf numFmtId="0" fontId="5" fillId="2" borderId="12" xfId="0" applyFont="1" applyFill="1" applyBorder="1" applyAlignment="1">
      <alignment wrapText="1"/>
    </xf>
    <xf numFmtId="0" fontId="5" fillId="2" borderId="12" xfId="0" applyFont="1" applyFill="1" applyBorder="1"/>
    <xf numFmtId="0" fontId="20" fillId="0" borderId="0" xfId="0" applyFont="1"/>
    <xf numFmtId="0" fontId="5" fillId="2" borderId="14" xfId="0" applyFont="1" applyFill="1" applyBorder="1" applyAlignment="1">
      <alignment wrapText="1"/>
    </xf>
    <xf numFmtId="0" fontId="13" fillId="2" borderId="13" xfId="0" applyFont="1" applyFill="1" applyBorder="1"/>
    <xf numFmtId="0" fontId="11" fillId="2" borderId="13" xfId="0" applyFont="1" applyFill="1" applyBorder="1"/>
    <xf numFmtId="0" fontId="11" fillId="2" borderId="14" xfId="0" applyFont="1" applyFill="1" applyBorder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4" fillId="4" borderId="13" xfId="0" applyFont="1" applyFill="1" applyBorder="1" applyAlignment="1">
      <alignment horizontal="center" vertical="center" wrapText="1"/>
    </xf>
    <xf numFmtId="0" fontId="29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9" borderId="20" xfId="0" applyFont="1" applyFill="1" applyBorder="1" applyAlignment="1">
      <alignment horizontal="center" vertical="center" wrapText="1"/>
    </xf>
    <xf numFmtId="0" fontId="26" fillId="10" borderId="20" xfId="0" applyFont="1" applyFill="1" applyBorder="1" applyAlignment="1">
      <alignment horizontal="center" vertical="center" wrapText="1"/>
    </xf>
    <xf numFmtId="0" fontId="26" fillId="9" borderId="36" xfId="0" applyFont="1" applyFill="1" applyBorder="1" applyAlignment="1">
      <alignment horizontal="center" vertical="center" wrapText="1"/>
    </xf>
    <xf numFmtId="0" fontId="26" fillId="10" borderId="36" xfId="0" applyFont="1" applyFill="1" applyBorder="1" applyAlignment="1">
      <alignment horizontal="center" vertical="center" wrapText="1"/>
    </xf>
    <xf numFmtId="0" fontId="26" fillId="9" borderId="38" xfId="0" applyFont="1" applyFill="1" applyBorder="1" applyAlignment="1">
      <alignment horizontal="center" vertical="center" wrapText="1"/>
    </xf>
    <xf numFmtId="0" fontId="26" fillId="10" borderId="38" xfId="0" applyFont="1" applyFill="1" applyBorder="1" applyAlignment="1">
      <alignment horizontal="center" vertical="center" wrapText="1"/>
    </xf>
    <xf numFmtId="0" fontId="26" fillId="10" borderId="51" xfId="0" applyFont="1" applyFill="1" applyBorder="1" applyAlignment="1">
      <alignment horizontal="center" vertical="center" wrapText="1"/>
    </xf>
    <xf numFmtId="0" fontId="26" fillId="9" borderId="50" xfId="0" applyFont="1" applyFill="1" applyBorder="1" applyAlignment="1">
      <alignment horizontal="center" vertical="center" wrapText="1"/>
    </xf>
    <xf numFmtId="0" fontId="26" fillId="10" borderId="50" xfId="0" applyFont="1" applyFill="1" applyBorder="1" applyAlignment="1">
      <alignment horizontal="center" vertical="center" wrapText="1"/>
    </xf>
    <xf numFmtId="0" fontId="28" fillId="9" borderId="50" xfId="0" applyFont="1" applyFill="1" applyBorder="1" applyAlignment="1">
      <alignment horizontal="center" vertical="center" wrapText="1"/>
    </xf>
    <xf numFmtId="0" fontId="26" fillId="9" borderId="54" xfId="0" applyFont="1" applyFill="1" applyBorder="1" applyAlignment="1">
      <alignment horizontal="center" vertical="center" wrapText="1"/>
    </xf>
    <xf numFmtId="0" fontId="26" fillId="10" borderId="54" xfId="0" applyFont="1" applyFill="1" applyBorder="1" applyAlignment="1">
      <alignment horizontal="center" vertical="center" wrapText="1"/>
    </xf>
    <xf numFmtId="0" fontId="26" fillId="9" borderId="37" xfId="0" applyFont="1" applyFill="1" applyBorder="1" applyAlignment="1">
      <alignment horizontal="center" vertical="center" wrapText="1"/>
    </xf>
    <xf numFmtId="0" fontId="26" fillId="10" borderId="37" xfId="0" applyFont="1" applyFill="1" applyBorder="1" applyAlignment="1">
      <alignment horizontal="center" vertical="center" wrapText="1"/>
    </xf>
    <xf numFmtId="0" fontId="26" fillId="9" borderId="16" xfId="0" applyFont="1" applyFill="1" applyBorder="1" applyAlignment="1">
      <alignment horizontal="center" vertical="center" wrapText="1"/>
    </xf>
    <xf numFmtId="0" fontId="26" fillId="10" borderId="59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5" fillId="4" borderId="37" xfId="0" applyFont="1" applyFill="1" applyBorder="1" applyAlignment="1">
      <alignment horizontal="center" vertical="center" wrapText="1"/>
    </xf>
    <xf numFmtId="0" fontId="25" fillId="4" borderId="38" xfId="0" applyFont="1" applyFill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5" fillId="4" borderId="56" xfId="0" applyFont="1" applyFill="1" applyBorder="1" applyAlignment="1">
      <alignment horizontal="center" vertical="center" wrapText="1"/>
    </xf>
    <xf numFmtId="0" fontId="25" fillId="4" borderId="63" xfId="0" applyFont="1" applyFill="1" applyBorder="1" applyAlignment="1">
      <alignment horizontal="center" vertical="center" wrapText="1"/>
    </xf>
    <xf numFmtId="0" fontId="25" fillId="3" borderId="40" xfId="0" applyFont="1" applyFill="1" applyBorder="1" applyAlignment="1">
      <alignment horizontal="center" vertical="center" wrapText="1"/>
    </xf>
    <xf numFmtId="0" fontId="25" fillId="3" borderId="31" xfId="0" applyFont="1" applyFill="1" applyBorder="1" applyAlignment="1">
      <alignment horizontal="center" vertical="center" wrapText="1"/>
    </xf>
    <xf numFmtId="0" fontId="25" fillId="3" borderId="47" xfId="0" applyFont="1" applyFill="1" applyBorder="1" applyAlignment="1">
      <alignment horizontal="center" vertical="center" wrapText="1"/>
    </xf>
    <xf numFmtId="0" fontId="25" fillId="3" borderId="65" xfId="0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/>
    </xf>
    <xf numFmtId="0" fontId="25" fillId="3" borderId="42" xfId="0" applyFont="1" applyFill="1" applyBorder="1" applyAlignment="1">
      <alignment horizontal="center" vertical="center"/>
    </xf>
    <xf numFmtId="0" fontId="25" fillId="3" borderId="60" xfId="0" applyFont="1" applyFill="1" applyBorder="1" applyAlignment="1">
      <alignment horizontal="center" vertical="center" wrapText="1"/>
    </xf>
    <xf numFmtId="0" fontId="25" fillId="3" borderId="43" xfId="0" applyFont="1" applyFill="1" applyBorder="1" applyAlignment="1">
      <alignment horizontal="center" vertical="center" wrapText="1"/>
    </xf>
    <xf numFmtId="0" fontId="25" fillId="3" borderId="45" xfId="0" applyFont="1" applyFill="1" applyBorder="1" applyAlignment="1">
      <alignment horizontal="center" vertical="center" wrapText="1"/>
    </xf>
    <xf numFmtId="0" fontId="25" fillId="3" borderId="62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25" fillId="3" borderId="39" xfId="0" applyFont="1" applyFill="1" applyBorder="1" applyAlignment="1">
      <alignment horizontal="center" vertical="center" wrapText="1"/>
    </xf>
    <xf numFmtId="0" fontId="25" fillId="3" borderId="44" xfId="0" applyFont="1" applyFill="1" applyBorder="1" applyAlignment="1">
      <alignment horizontal="center" vertical="center" wrapText="1"/>
    </xf>
    <xf numFmtId="0" fontId="25" fillId="3" borderId="61" xfId="0" applyFont="1" applyFill="1" applyBorder="1" applyAlignment="1">
      <alignment horizontal="center" vertical="center" wrapText="1"/>
    </xf>
    <xf numFmtId="0" fontId="25" fillId="3" borderId="40" xfId="0" applyFont="1" applyFill="1" applyBorder="1" applyAlignment="1">
      <alignment horizontal="center" vertical="center"/>
    </xf>
    <xf numFmtId="0" fontId="25" fillId="3" borderId="31" xfId="0" applyFont="1" applyFill="1" applyBorder="1" applyAlignment="1">
      <alignment horizontal="center"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60" xfId="0" applyFont="1" applyFill="1" applyBorder="1" applyAlignment="1">
      <alignment horizontal="center" vertical="center"/>
    </xf>
    <xf numFmtId="0" fontId="26" fillId="0" borderId="72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5" fillId="4" borderId="64" xfId="0" applyFont="1" applyFill="1" applyBorder="1" applyAlignment="1">
      <alignment horizontal="center" vertical="center" wrapText="1"/>
    </xf>
    <xf numFmtId="0" fontId="25" fillId="4" borderId="55" xfId="0" applyFont="1" applyFill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6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68" xfId="0" applyFont="1" applyBorder="1" applyAlignment="1">
      <alignment horizontal="center" vertical="center" wrapText="1"/>
    </xf>
    <xf numFmtId="0" fontId="25" fillId="4" borderId="43" xfId="0" applyFont="1" applyFill="1" applyBorder="1" applyAlignment="1">
      <alignment horizontal="center" vertical="center" wrapText="1"/>
    </xf>
    <xf numFmtId="0" fontId="25" fillId="4" borderId="45" xfId="0" applyFont="1" applyFill="1" applyBorder="1" applyAlignment="1">
      <alignment horizontal="center" vertical="center" wrapText="1"/>
    </xf>
    <xf numFmtId="0" fontId="25" fillId="4" borderId="48" xfId="0" applyFont="1" applyFill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5" fillId="4" borderId="49" xfId="0" applyFont="1" applyFill="1" applyBorder="1" applyAlignment="1">
      <alignment horizontal="center" vertical="center" wrapText="1"/>
    </xf>
    <xf numFmtId="0" fontId="25" fillId="0" borderId="64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5" fillId="0" borderId="63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5" fillId="4" borderId="37" xfId="0" quotePrefix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9" xfId="0" applyFont="1" applyBorder="1"/>
    <xf numFmtId="0" fontId="7" fillId="2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7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1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8" fillId="2" borderId="8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6" xfId="0" applyFont="1" applyBorder="1"/>
    <xf numFmtId="0" fontId="18" fillId="2" borderId="4" xfId="0" applyFont="1" applyFill="1" applyBorder="1" applyAlignment="1">
      <alignment horizontal="center" wrapText="1"/>
    </xf>
    <xf numFmtId="0" fontId="2" fillId="0" borderId="11" xfId="0" applyFont="1" applyBorder="1"/>
    <xf numFmtId="0" fontId="18" fillId="2" borderId="8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2" fillId="0" borderId="31" xfId="0" applyFont="1" applyBorder="1"/>
    <xf numFmtId="0" fontId="17" fillId="3" borderId="23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" fillId="0" borderId="30" xfId="0" applyFont="1" applyBorder="1"/>
    <xf numFmtId="0" fontId="6" fillId="3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0" xfId="0" applyFont="1" applyBorder="1"/>
    <xf numFmtId="0" fontId="18" fillId="2" borderId="23" xfId="0" applyFont="1" applyFill="1" applyBorder="1" applyAlignment="1">
      <alignment horizontal="center" wrapText="1"/>
    </xf>
    <xf numFmtId="0" fontId="18" fillId="0" borderId="4" xfId="0" applyFont="1" applyBorder="1" applyAlignment="1">
      <alignment horizontal="center" vertical="center" wrapText="1"/>
    </xf>
    <xf numFmtId="0" fontId="18" fillId="2" borderId="4" xfId="0" applyFont="1" applyFill="1" applyBorder="1" applyAlignment="1">
      <alignment vertical="center" wrapText="1"/>
    </xf>
    <xf numFmtId="0" fontId="7" fillId="2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7" fillId="2" borderId="34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/>
    <xf numFmtId="0" fontId="21" fillId="2" borderId="1" xfId="0" applyFont="1" applyFill="1" applyBorder="1" applyAlignment="1">
      <alignment horizontal="center" vertical="top"/>
    </xf>
    <xf numFmtId="0" fontId="2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33" xfId="0" applyFont="1" applyBorder="1"/>
    <xf numFmtId="0" fontId="25" fillId="4" borderId="73" xfId="0" applyFont="1" applyFill="1" applyBorder="1" applyAlignment="1">
      <alignment horizontal="center" vertical="center" wrapText="1"/>
    </xf>
    <xf numFmtId="0" fontId="25" fillId="4" borderId="74" xfId="0" applyFont="1" applyFill="1" applyBorder="1" applyAlignment="1">
      <alignment horizontal="center" vertical="center" wrapText="1"/>
    </xf>
    <xf numFmtId="0" fontId="25" fillId="4" borderId="7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BBD94-5029-4314-B41E-AE429FB26F0D}">
  <dimension ref="A1:Q69"/>
  <sheetViews>
    <sheetView tabSelected="1" view="pageBreakPreview" zoomScale="29" zoomScaleNormal="28" workbookViewId="0">
      <selection activeCell="N15" sqref="N15:N19"/>
    </sheetView>
  </sheetViews>
  <sheetFormatPr defaultRowHeight="13" x14ac:dyDescent="0.25"/>
  <cols>
    <col min="1" max="1" width="18.1796875" style="93" customWidth="1"/>
    <col min="2" max="2" width="34.36328125" style="93" customWidth="1"/>
    <col min="3" max="3" width="34.453125" style="93" customWidth="1"/>
    <col min="4" max="4" width="30.81640625" style="93" customWidth="1"/>
    <col min="5" max="5" width="34.36328125" style="93" customWidth="1"/>
    <col min="6" max="6" width="22.7265625" style="93" customWidth="1"/>
    <col min="7" max="7" width="23.6328125" style="93" customWidth="1"/>
    <col min="8" max="8" width="23.36328125" style="93" customWidth="1"/>
    <col min="9" max="9" width="23" style="93" customWidth="1"/>
    <col min="10" max="10" width="24.90625" style="93" customWidth="1"/>
    <col min="11" max="11" width="34.36328125" style="93" customWidth="1"/>
    <col min="12" max="12" width="28.81640625" style="93" customWidth="1"/>
    <col min="13" max="13" width="26.36328125" style="98" customWidth="1"/>
    <col min="14" max="14" width="77" style="98" customWidth="1"/>
    <col min="15" max="15" width="22.7265625" style="98" customWidth="1"/>
    <col min="16" max="16" width="24.26953125" style="98" customWidth="1"/>
    <col min="17" max="17" width="25" style="98" customWidth="1"/>
  </cols>
  <sheetData>
    <row r="1" spans="1:17" ht="12.5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spans="1:17" ht="34.5" x14ac:dyDescent="0.25">
      <c r="A2" s="170" t="s">
        <v>172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/>
      <c r="Q2"/>
    </row>
    <row r="3" spans="1:17" thickBo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 spans="1:17" ht="44" x14ac:dyDescent="0.25">
      <c r="A4" s="138" t="s">
        <v>1</v>
      </c>
      <c r="B4" s="141" t="s">
        <v>2</v>
      </c>
      <c r="C4" s="141" t="s">
        <v>3</v>
      </c>
      <c r="D4" s="127" t="s">
        <v>4</v>
      </c>
      <c r="E4" s="127" t="s">
        <v>5</v>
      </c>
      <c r="F4" s="127" t="s">
        <v>6</v>
      </c>
      <c r="G4" s="130" t="s">
        <v>8</v>
      </c>
      <c r="H4" s="131"/>
      <c r="I4" s="131"/>
      <c r="J4" s="132"/>
      <c r="K4" s="127" t="s">
        <v>9</v>
      </c>
      <c r="L4" s="134" t="s">
        <v>245</v>
      </c>
      <c r="M4" s="134" t="s">
        <v>246</v>
      </c>
      <c r="N4" s="134" t="s">
        <v>247</v>
      </c>
      <c r="O4" s="127" t="s">
        <v>242</v>
      </c>
      <c r="P4" s="127" t="s">
        <v>243</v>
      </c>
      <c r="Q4" s="127" t="s">
        <v>244</v>
      </c>
    </row>
    <row r="5" spans="1:17" ht="12.5" x14ac:dyDescent="0.25">
      <c r="A5" s="139"/>
      <c r="B5" s="142"/>
      <c r="C5" s="142"/>
      <c r="D5" s="128"/>
      <c r="E5" s="128"/>
      <c r="F5" s="128"/>
      <c r="G5" s="137" t="s">
        <v>13</v>
      </c>
      <c r="H5" s="137" t="s">
        <v>14</v>
      </c>
      <c r="I5" s="137" t="s">
        <v>15</v>
      </c>
      <c r="J5" s="137" t="s">
        <v>16</v>
      </c>
      <c r="K5" s="128"/>
      <c r="L5" s="135"/>
      <c r="M5" s="135"/>
      <c r="N5" s="135"/>
      <c r="O5" s="128"/>
      <c r="P5" s="128"/>
      <c r="Q5" s="128"/>
    </row>
    <row r="6" spans="1:17" ht="93" customHeight="1" thickBot="1" x14ac:dyDescent="0.3">
      <c r="A6" s="140"/>
      <c r="B6" s="143"/>
      <c r="C6" s="144"/>
      <c r="D6" s="129"/>
      <c r="E6" s="129"/>
      <c r="F6" s="129"/>
      <c r="G6" s="133"/>
      <c r="H6" s="133"/>
      <c r="I6" s="133"/>
      <c r="J6" s="133"/>
      <c r="K6" s="133"/>
      <c r="L6" s="136"/>
      <c r="M6" s="136"/>
      <c r="N6" s="136"/>
      <c r="O6" s="129"/>
      <c r="P6" s="129"/>
      <c r="Q6" s="129"/>
    </row>
    <row r="7" spans="1:17" ht="45" x14ac:dyDescent="0.25">
      <c r="A7" s="115">
        <v>1</v>
      </c>
      <c r="B7" s="117" t="s">
        <v>30</v>
      </c>
      <c r="C7" s="118" t="s">
        <v>23</v>
      </c>
      <c r="D7" s="113" t="s">
        <v>186</v>
      </c>
      <c r="E7" s="113" t="s">
        <v>109</v>
      </c>
      <c r="F7" s="113">
        <v>3</v>
      </c>
      <c r="G7" s="102" t="s">
        <v>189</v>
      </c>
      <c r="H7" s="102" t="s">
        <v>189</v>
      </c>
      <c r="I7" s="102">
        <v>2</v>
      </c>
      <c r="J7" s="102">
        <v>2</v>
      </c>
      <c r="K7" s="102">
        <f>SUM(F7:J7)</f>
        <v>7</v>
      </c>
      <c r="L7" s="120">
        <v>10</v>
      </c>
      <c r="M7" s="120">
        <v>0</v>
      </c>
      <c r="N7" s="171" t="s">
        <v>225</v>
      </c>
      <c r="O7" s="120">
        <v>1</v>
      </c>
      <c r="P7" s="120">
        <v>1</v>
      </c>
      <c r="Q7" s="120">
        <v>2</v>
      </c>
    </row>
    <row r="8" spans="1:17" ht="45" x14ac:dyDescent="0.25">
      <c r="A8" s="116"/>
      <c r="B8" s="116"/>
      <c r="C8" s="119"/>
      <c r="D8" s="101" t="s">
        <v>185</v>
      </c>
      <c r="E8" s="101" t="s">
        <v>109</v>
      </c>
      <c r="F8" s="101">
        <v>3</v>
      </c>
      <c r="G8" s="102" t="s">
        <v>189</v>
      </c>
      <c r="H8" s="102" t="s">
        <v>189</v>
      </c>
      <c r="I8" s="102" t="s">
        <v>189</v>
      </c>
      <c r="J8" s="102" t="s">
        <v>189</v>
      </c>
      <c r="K8" s="102">
        <f>SUM(F8:J8)</f>
        <v>3</v>
      </c>
      <c r="L8" s="121"/>
      <c r="M8" s="121"/>
      <c r="N8" s="121"/>
      <c r="O8" s="121"/>
      <c r="P8" s="121"/>
      <c r="Q8" s="121"/>
    </row>
    <row r="9" spans="1:17" ht="45.5" thickBot="1" x14ac:dyDescent="0.3">
      <c r="A9" s="122">
        <v>2</v>
      </c>
      <c r="B9" s="115" t="s">
        <v>173</v>
      </c>
      <c r="C9" s="115" t="s">
        <v>56</v>
      </c>
      <c r="D9" s="103" t="s">
        <v>185</v>
      </c>
      <c r="E9" s="103" t="s">
        <v>214</v>
      </c>
      <c r="F9" s="103">
        <v>3</v>
      </c>
      <c r="G9" s="114">
        <v>2</v>
      </c>
      <c r="H9" s="114">
        <v>2</v>
      </c>
      <c r="I9" s="114">
        <v>2</v>
      </c>
      <c r="J9" s="114">
        <v>2</v>
      </c>
      <c r="K9" s="103">
        <f>SUM(F9:J9)</f>
        <v>11</v>
      </c>
      <c r="L9" s="125">
        <v>22</v>
      </c>
      <c r="M9" s="125">
        <v>4</v>
      </c>
      <c r="N9" s="125" t="s">
        <v>229</v>
      </c>
      <c r="O9" s="125">
        <v>1</v>
      </c>
      <c r="P9" s="125">
        <v>1</v>
      </c>
      <c r="Q9" s="125">
        <v>2</v>
      </c>
    </row>
    <row r="10" spans="1:17" ht="45.5" thickBot="1" x14ac:dyDescent="0.3">
      <c r="A10" s="123"/>
      <c r="B10" s="124"/>
      <c r="C10" s="124"/>
      <c r="D10" s="111" t="s">
        <v>186</v>
      </c>
      <c r="E10" s="106" t="s">
        <v>214</v>
      </c>
      <c r="F10" s="106">
        <v>3</v>
      </c>
      <c r="G10" s="107">
        <v>2</v>
      </c>
      <c r="H10" s="107">
        <v>2</v>
      </c>
      <c r="I10" s="107">
        <v>2</v>
      </c>
      <c r="J10" s="107">
        <v>2</v>
      </c>
      <c r="K10" s="106">
        <f>SUM(F10:J10)</f>
        <v>11</v>
      </c>
      <c r="L10" s="126"/>
      <c r="M10" s="126"/>
      <c r="N10" s="126"/>
      <c r="O10" s="126"/>
      <c r="P10" s="126"/>
      <c r="Q10" s="126"/>
    </row>
    <row r="11" spans="1:17" ht="45" x14ac:dyDescent="0.25">
      <c r="A11" s="150">
        <v>3</v>
      </c>
      <c r="B11" s="153" t="s">
        <v>174</v>
      </c>
      <c r="C11" s="156" t="s">
        <v>56</v>
      </c>
      <c r="D11" s="101" t="s">
        <v>192</v>
      </c>
      <c r="E11" s="99" t="s">
        <v>124</v>
      </c>
      <c r="F11" s="99" t="s">
        <v>189</v>
      </c>
      <c r="G11" s="100">
        <v>2</v>
      </c>
      <c r="H11" s="100" t="s">
        <v>189</v>
      </c>
      <c r="I11" s="100">
        <v>2</v>
      </c>
      <c r="J11" s="100" t="s">
        <v>189</v>
      </c>
      <c r="K11" s="100">
        <f>SUM(F11:J11)</f>
        <v>4</v>
      </c>
      <c r="L11" s="159">
        <v>20</v>
      </c>
      <c r="M11" s="159">
        <v>2</v>
      </c>
      <c r="N11" s="159" t="s">
        <v>237</v>
      </c>
      <c r="O11" s="243">
        <v>1</v>
      </c>
      <c r="P11" s="243">
        <v>1</v>
      </c>
      <c r="Q11" s="243">
        <v>2</v>
      </c>
    </row>
    <row r="12" spans="1:17" ht="45" x14ac:dyDescent="0.25">
      <c r="A12" s="151"/>
      <c r="B12" s="154"/>
      <c r="C12" s="157"/>
      <c r="D12" s="101" t="s">
        <v>186</v>
      </c>
      <c r="E12" s="99" t="s">
        <v>124</v>
      </c>
      <c r="F12" s="99" t="s">
        <v>189</v>
      </c>
      <c r="G12" s="100">
        <v>2</v>
      </c>
      <c r="H12" s="100" t="s">
        <v>189</v>
      </c>
      <c r="I12" s="100" t="s">
        <v>189</v>
      </c>
      <c r="J12" s="100" t="s">
        <v>189</v>
      </c>
      <c r="K12" s="100">
        <f>SUM(F12:J12)</f>
        <v>2</v>
      </c>
      <c r="L12" s="160"/>
      <c r="M12" s="160"/>
      <c r="N12" s="160"/>
      <c r="O12" s="244"/>
      <c r="P12" s="244"/>
      <c r="Q12" s="244"/>
    </row>
    <row r="13" spans="1:17" ht="45" x14ac:dyDescent="0.25">
      <c r="A13" s="151"/>
      <c r="B13" s="154"/>
      <c r="C13" s="157"/>
      <c r="D13" s="101" t="s">
        <v>185</v>
      </c>
      <c r="E13" s="99" t="s">
        <v>124</v>
      </c>
      <c r="F13" s="99">
        <v>3</v>
      </c>
      <c r="G13" s="100">
        <v>2</v>
      </c>
      <c r="H13" s="100">
        <v>2</v>
      </c>
      <c r="I13" s="100">
        <v>2</v>
      </c>
      <c r="J13" s="100">
        <v>2</v>
      </c>
      <c r="K13" s="100">
        <f>SUM(F13:J13)</f>
        <v>11</v>
      </c>
      <c r="L13" s="160"/>
      <c r="M13" s="160"/>
      <c r="N13" s="160"/>
      <c r="O13" s="244"/>
      <c r="P13" s="244"/>
      <c r="Q13" s="244"/>
    </row>
    <row r="14" spans="1:17" ht="45.5" thickBot="1" x14ac:dyDescent="0.3">
      <c r="A14" s="152"/>
      <c r="B14" s="155"/>
      <c r="C14" s="158"/>
      <c r="D14" s="111" t="s">
        <v>29</v>
      </c>
      <c r="E14" s="106" t="s">
        <v>213</v>
      </c>
      <c r="F14" s="106">
        <v>3</v>
      </c>
      <c r="G14" s="107" t="s">
        <v>189</v>
      </c>
      <c r="H14" s="107" t="s">
        <v>189</v>
      </c>
      <c r="I14" s="107" t="s">
        <v>189</v>
      </c>
      <c r="J14" s="107" t="s">
        <v>189</v>
      </c>
      <c r="K14" s="105">
        <f>SUM(F14:J14)</f>
        <v>3</v>
      </c>
      <c r="L14" s="161"/>
      <c r="M14" s="161"/>
      <c r="N14" s="161"/>
      <c r="O14" s="245"/>
      <c r="P14" s="245"/>
      <c r="Q14" s="245"/>
    </row>
    <row r="15" spans="1:17" ht="45" x14ac:dyDescent="0.25">
      <c r="A15" s="145">
        <v>4</v>
      </c>
      <c r="B15" s="117" t="s">
        <v>222</v>
      </c>
      <c r="C15" s="162" t="s">
        <v>56</v>
      </c>
      <c r="D15" s="101" t="s">
        <v>186</v>
      </c>
      <c r="E15" s="103" t="s">
        <v>124</v>
      </c>
      <c r="F15" s="103">
        <v>3</v>
      </c>
      <c r="G15" s="102" t="s">
        <v>189</v>
      </c>
      <c r="H15" s="104">
        <v>2</v>
      </c>
      <c r="I15" s="104">
        <v>2</v>
      </c>
      <c r="J15" s="104">
        <v>2</v>
      </c>
      <c r="K15" s="103">
        <f>SUM(F15:J15)</f>
        <v>9</v>
      </c>
      <c r="L15" s="148">
        <v>21</v>
      </c>
      <c r="M15" s="148">
        <v>3</v>
      </c>
      <c r="N15" s="148" t="s">
        <v>226</v>
      </c>
      <c r="O15" s="148">
        <v>1</v>
      </c>
      <c r="P15" s="148">
        <v>1</v>
      </c>
      <c r="Q15" s="148">
        <v>2</v>
      </c>
    </row>
    <row r="16" spans="1:17" ht="45.5" thickBot="1" x14ac:dyDescent="0.3">
      <c r="A16" s="146"/>
      <c r="B16" s="147"/>
      <c r="C16" s="163"/>
      <c r="D16" s="101" t="s">
        <v>187</v>
      </c>
      <c r="E16" s="101" t="s">
        <v>188</v>
      </c>
      <c r="F16" s="101" t="s">
        <v>189</v>
      </c>
      <c r="G16" s="102" t="s">
        <v>189</v>
      </c>
      <c r="H16" s="102" t="s">
        <v>189</v>
      </c>
      <c r="I16" s="102"/>
      <c r="J16" s="102">
        <v>2</v>
      </c>
      <c r="K16" s="106">
        <f>SUM(F16:J16)</f>
        <v>2</v>
      </c>
      <c r="L16" s="149"/>
      <c r="M16" s="149"/>
      <c r="N16" s="149"/>
      <c r="O16" s="149"/>
      <c r="P16" s="149"/>
      <c r="Q16" s="149"/>
    </row>
    <row r="17" spans="1:17" ht="45.5" thickBot="1" x14ac:dyDescent="0.3">
      <c r="A17" s="146"/>
      <c r="B17" s="147"/>
      <c r="C17" s="163"/>
      <c r="D17" s="101" t="s">
        <v>185</v>
      </c>
      <c r="E17" s="106" t="s">
        <v>193</v>
      </c>
      <c r="F17" s="106">
        <v>2</v>
      </c>
      <c r="G17" s="107" t="s">
        <v>189</v>
      </c>
      <c r="H17" s="107" t="s">
        <v>189</v>
      </c>
      <c r="I17" s="107" t="s">
        <v>189</v>
      </c>
      <c r="J17" s="107" t="s">
        <v>189</v>
      </c>
      <c r="K17" s="106">
        <f>SUM(F17:J17)</f>
        <v>2</v>
      </c>
      <c r="L17" s="149"/>
      <c r="M17" s="149"/>
      <c r="N17" s="149"/>
      <c r="O17" s="149"/>
      <c r="P17" s="149"/>
      <c r="Q17" s="149"/>
    </row>
    <row r="18" spans="1:17" ht="45.5" thickBot="1" x14ac:dyDescent="0.3">
      <c r="A18" s="146"/>
      <c r="B18" s="147"/>
      <c r="C18" s="163"/>
      <c r="D18" s="101" t="s">
        <v>195</v>
      </c>
      <c r="E18" s="106" t="s">
        <v>194</v>
      </c>
      <c r="F18" s="106" t="s">
        <v>189</v>
      </c>
      <c r="G18" s="107" t="s">
        <v>189</v>
      </c>
      <c r="H18" s="107" t="s">
        <v>189</v>
      </c>
      <c r="I18" s="107">
        <v>2</v>
      </c>
      <c r="J18" s="107">
        <v>2</v>
      </c>
      <c r="K18" s="106">
        <f>SUM(F18:J18)</f>
        <v>4</v>
      </c>
      <c r="L18" s="149"/>
      <c r="M18" s="149"/>
      <c r="N18" s="149"/>
      <c r="O18" s="149"/>
      <c r="P18" s="149"/>
      <c r="Q18" s="149"/>
    </row>
    <row r="19" spans="1:17" ht="45.5" thickBot="1" x14ac:dyDescent="0.3">
      <c r="A19" s="123"/>
      <c r="B19" s="124"/>
      <c r="C19" s="164"/>
      <c r="D19" s="101" t="s">
        <v>190</v>
      </c>
      <c r="E19" s="106" t="s">
        <v>194</v>
      </c>
      <c r="F19" s="106" t="s">
        <v>189</v>
      </c>
      <c r="G19" s="107">
        <v>2</v>
      </c>
      <c r="H19" s="107">
        <v>2</v>
      </c>
      <c r="I19" s="107" t="s">
        <v>189</v>
      </c>
      <c r="J19" s="107" t="s">
        <v>189</v>
      </c>
      <c r="K19" s="106">
        <f>SUM(F19:J19)</f>
        <v>4</v>
      </c>
      <c r="L19" s="126"/>
      <c r="M19" s="126"/>
      <c r="N19" s="126"/>
      <c r="O19" s="126"/>
      <c r="P19" s="126"/>
      <c r="Q19" s="126"/>
    </row>
    <row r="20" spans="1:17" ht="45" x14ac:dyDescent="0.25">
      <c r="A20" s="145">
        <v>5</v>
      </c>
      <c r="B20" s="117" t="s">
        <v>223</v>
      </c>
      <c r="C20" s="117" t="s">
        <v>56</v>
      </c>
      <c r="D20" s="103" t="s">
        <v>192</v>
      </c>
      <c r="E20" s="103" t="s">
        <v>124</v>
      </c>
      <c r="F20" s="103">
        <v>3</v>
      </c>
      <c r="G20" s="104" t="s">
        <v>189</v>
      </c>
      <c r="H20" s="104">
        <v>2</v>
      </c>
      <c r="I20" s="104" t="s">
        <v>189</v>
      </c>
      <c r="J20" s="104">
        <v>2</v>
      </c>
      <c r="K20" s="103">
        <f>SUM(F20:J20)</f>
        <v>7</v>
      </c>
      <c r="L20" s="148">
        <v>20</v>
      </c>
      <c r="M20" s="148">
        <v>2</v>
      </c>
      <c r="N20" s="148" t="s">
        <v>227</v>
      </c>
      <c r="O20" s="148">
        <v>0</v>
      </c>
      <c r="P20" s="148">
        <v>1</v>
      </c>
      <c r="Q20" s="148">
        <v>1</v>
      </c>
    </row>
    <row r="21" spans="1:17" ht="45.5" thickBot="1" x14ac:dyDescent="0.3">
      <c r="A21" s="146"/>
      <c r="B21" s="147"/>
      <c r="C21" s="147"/>
      <c r="D21" s="106" t="s">
        <v>195</v>
      </c>
      <c r="E21" s="106" t="s">
        <v>196</v>
      </c>
      <c r="F21" s="106">
        <v>3</v>
      </c>
      <c r="G21" s="107">
        <v>2</v>
      </c>
      <c r="H21" s="107">
        <v>2</v>
      </c>
      <c r="I21" s="107">
        <v>2</v>
      </c>
      <c r="J21" s="107">
        <v>2</v>
      </c>
      <c r="K21" s="103">
        <f>SUM(F21:J21)</f>
        <v>11</v>
      </c>
      <c r="L21" s="149"/>
      <c r="M21" s="149"/>
      <c r="N21" s="149"/>
      <c r="O21" s="149"/>
      <c r="P21" s="149"/>
      <c r="Q21" s="149"/>
    </row>
    <row r="22" spans="1:17" ht="45.5" thickBot="1" x14ac:dyDescent="0.3">
      <c r="A22" s="123"/>
      <c r="B22" s="124"/>
      <c r="C22" s="124"/>
      <c r="D22" s="106" t="s">
        <v>215</v>
      </c>
      <c r="E22" s="106" t="s">
        <v>216</v>
      </c>
      <c r="F22" s="106">
        <v>2</v>
      </c>
      <c r="G22" s="104" t="s">
        <v>189</v>
      </c>
      <c r="H22" s="104" t="s">
        <v>189</v>
      </c>
      <c r="I22" s="104" t="s">
        <v>189</v>
      </c>
      <c r="J22" s="104" t="s">
        <v>189</v>
      </c>
      <c r="K22" s="103">
        <f>SUM(F22:J22)</f>
        <v>2</v>
      </c>
      <c r="L22" s="126"/>
      <c r="M22" s="126"/>
      <c r="N22" s="126"/>
      <c r="O22" s="126"/>
      <c r="P22" s="126"/>
      <c r="Q22" s="126"/>
    </row>
    <row r="23" spans="1:17" ht="45" x14ac:dyDescent="0.25">
      <c r="A23" s="145">
        <v>6</v>
      </c>
      <c r="B23" s="117" t="s">
        <v>175</v>
      </c>
      <c r="C23" s="117" t="s">
        <v>56</v>
      </c>
      <c r="D23" s="103" t="s">
        <v>187</v>
      </c>
      <c r="E23" s="103" t="s">
        <v>191</v>
      </c>
      <c r="F23" s="103">
        <v>3</v>
      </c>
      <c r="G23" s="104" t="s">
        <v>189</v>
      </c>
      <c r="H23" s="104">
        <v>2</v>
      </c>
      <c r="I23" s="104">
        <v>2</v>
      </c>
      <c r="J23" s="104" t="s">
        <v>189</v>
      </c>
      <c r="K23" s="103">
        <f>SUM(F23:J23)</f>
        <v>7</v>
      </c>
      <c r="L23" s="148">
        <v>21</v>
      </c>
      <c r="M23" s="148">
        <v>3</v>
      </c>
      <c r="N23" s="148" t="s">
        <v>228</v>
      </c>
      <c r="O23" s="148">
        <v>1</v>
      </c>
      <c r="P23" s="148">
        <v>1</v>
      </c>
      <c r="Q23" s="148">
        <v>2</v>
      </c>
    </row>
    <row r="24" spans="1:17" ht="45" x14ac:dyDescent="0.25">
      <c r="A24" s="146"/>
      <c r="B24" s="147"/>
      <c r="C24" s="147"/>
      <c r="D24" s="109" t="s">
        <v>195</v>
      </c>
      <c r="E24" s="109" t="s">
        <v>191</v>
      </c>
      <c r="F24" s="109">
        <v>3</v>
      </c>
      <c r="G24" s="104" t="s">
        <v>189</v>
      </c>
      <c r="H24" s="104">
        <v>2</v>
      </c>
      <c r="I24" s="104" t="s">
        <v>189</v>
      </c>
      <c r="J24" s="104" t="s">
        <v>189</v>
      </c>
      <c r="K24" s="103">
        <f>SUM(F24:J24)</f>
        <v>5</v>
      </c>
      <c r="L24" s="149"/>
      <c r="M24" s="149"/>
      <c r="N24" s="149"/>
      <c r="O24" s="149"/>
      <c r="P24" s="149"/>
      <c r="Q24" s="149"/>
    </row>
    <row r="25" spans="1:17" ht="45.5" thickBot="1" x14ac:dyDescent="0.3">
      <c r="A25" s="123"/>
      <c r="B25" s="124"/>
      <c r="C25" s="124"/>
      <c r="D25" s="106" t="s">
        <v>197</v>
      </c>
      <c r="E25" s="106" t="s">
        <v>198</v>
      </c>
      <c r="F25" s="106">
        <v>3</v>
      </c>
      <c r="G25" s="107">
        <v>2</v>
      </c>
      <c r="H25" s="107">
        <v>2</v>
      </c>
      <c r="I25" s="107">
        <v>2</v>
      </c>
      <c r="J25" s="107" t="s">
        <v>189</v>
      </c>
      <c r="K25" s="103">
        <f>SUM(F25:J25)</f>
        <v>9</v>
      </c>
      <c r="L25" s="126"/>
      <c r="M25" s="126"/>
      <c r="N25" s="126"/>
      <c r="O25" s="126"/>
      <c r="P25" s="126"/>
      <c r="Q25" s="126"/>
    </row>
    <row r="26" spans="1:17" ht="45.5" thickBot="1" x14ac:dyDescent="0.3">
      <c r="A26" s="145">
        <v>7</v>
      </c>
      <c r="B26" s="117" t="s">
        <v>184</v>
      </c>
      <c r="C26" s="117" t="s">
        <v>56</v>
      </c>
      <c r="D26" s="101" t="s">
        <v>195</v>
      </c>
      <c r="E26" s="101" t="s">
        <v>147</v>
      </c>
      <c r="F26" s="106">
        <v>3</v>
      </c>
      <c r="G26" s="107">
        <v>2</v>
      </c>
      <c r="H26" s="107">
        <v>2</v>
      </c>
      <c r="I26" s="107">
        <v>2</v>
      </c>
      <c r="J26" s="107">
        <v>2</v>
      </c>
      <c r="K26" s="103">
        <f>SUM(F26:J26)</f>
        <v>11</v>
      </c>
      <c r="L26" s="148">
        <v>22</v>
      </c>
      <c r="M26" s="148">
        <v>4</v>
      </c>
      <c r="N26" s="125" t="s">
        <v>235</v>
      </c>
      <c r="O26" s="148">
        <v>1</v>
      </c>
      <c r="P26" s="148">
        <v>1</v>
      </c>
      <c r="Q26" s="148">
        <v>2</v>
      </c>
    </row>
    <row r="27" spans="1:17" ht="45.5" thickBot="1" x14ac:dyDescent="0.3">
      <c r="A27" s="123"/>
      <c r="B27" s="124"/>
      <c r="C27" s="124"/>
      <c r="D27" s="106" t="s">
        <v>190</v>
      </c>
      <c r="E27" s="106" t="s">
        <v>147</v>
      </c>
      <c r="F27" s="106">
        <v>3</v>
      </c>
      <c r="G27" s="107">
        <v>2</v>
      </c>
      <c r="H27" s="107">
        <v>2</v>
      </c>
      <c r="I27" s="107">
        <v>2</v>
      </c>
      <c r="J27" s="107">
        <v>2</v>
      </c>
      <c r="K27" s="106">
        <f>SUM(F27:J27)</f>
        <v>11</v>
      </c>
      <c r="L27" s="126"/>
      <c r="M27" s="126"/>
      <c r="N27" s="126"/>
      <c r="O27" s="126"/>
      <c r="P27" s="126"/>
      <c r="Q27" s="126"/>
    </row>
    <row r="28" spans="1:17" ht="45" x14ac:dyDescent="0.25">
      <c r="A28" s="145">
        <v>8</v>
      </c>
      <c r="B28" s="117" t="s">
        <v>176</v>
      </c>
      <c r="C28" s="117" t="s">
        <v>56</v>
      </c>
      <c r="D28" s="103" t="s">
        <v>190</v>
      </c>
      <c r="E28" s="103" t="s">
        <v>196</v>
      </c>
      <c r="F28" s="103">
        <v>3</v>
      </c>
      <c r="G28" s="104">
        <v>2</v>
      </c>
      <c r="H28" s="104">
        <v>2</v>
      </c>
      <c r="I28" s="104">
        <v>2</v>
      </c>
      <c r="J28" s="104">
        <v>2</v>
      </c>
      <c r="K28" s="103">
        <f>SUM(F28:J28)</f>
        <v>11</v>
      </c>
      <c r="L28" s="148">
        <v>21</v>
      </c>
      <c r="M28" s="148">
        <v>3</v>
      </c>
      <c r="N28" s="148" t="s">
        <v>230</v>
      </c>
      <c r="O28" s="148">
        <v>1</v>
      </c>
      <c r="P28" s="148">
        <v>1</v>
      </c>
      <c r="Q28" s="148">
        <v>2</v>
      </c>
    </row>
    <row r="29" spans="1:17" ht="45" x14ac:dyDescent="0.25">
      <c r="A29" s="146"/>
      <c r="B29" s="147"/>
      <c r="C29" s="147"/>
      <c r="D29" s="101" t="s">
        <v>195</v>
      </c>
      <c r="E29" s="101" t="s">
        <v>194</v>
      </c>
      <c r="F29" s="101" t="s">
        <v>189</v>
      </c>
      <c r="G29" s="102">
        <v>2</v>
      </c>
      <c r="H29" s="102">
        <v>2</v>
      </c>
      <c r="I29" s="102" t="s">
        <v>189</v>
      </c>
      <c r="J29" s="102" t="s">
        <v>189</v>
      </c>
      <c r="K29" s="101">
        <f>SUM(F29:J29)</f>
        <v>4</v>
      </c>
      <c r="L29" s="149"/>
      <c r="M29" s="149"/>
      <c r="N29" s="149"/>
      <c r="O29" s="149"/>
      <c r="P29" s="149"/>
      <c r="Q29" s="149"/>
    </row>
    <row r="30" spans="1:17" ht="90.5" thickBot="1" x14ac:dyDescent="0.3">
      <c r="A30" s="146"/>
      <c r="B30" s="147"/>
      <c r="C30" s="147"/>
      <c r="D30" s="106" t="s">
        <v>218</v>
      </c>
      <c r="E30" s="106" t="s">
        <v>200</v>
      </c>
      <c r="F30" s="106">
        <v>3</v>
      </c>
      <c r="G30" s="107" t="s">
        <v>189</v>
      </c>
      <c r="H30" s="107" t="s">
        <v>189</v>
      </c>
      <c r="I30" s="107" t="s">
        <v>189</v>
      </c>
      <c r="J30" s="107" t="s">
        <v>189</v>
      </c>
      <c r="K30" s="106">
        <f>SUM(F30:J30)</f>
        <v>3</v>
      </c>
      <c r="L30" s="149"/>
      <c r="M30" s="149"/>
      <c r="N30" s="149"/>
      <c r="O30" s="149"/>
      <c r="P30" s="149"/>
      <c r="Q30" s="149"/>
    </row>
    <row r="31" spans="1:17" ht="90.5" thickBot="1" x14ac:dyDescent="0.3">
      <c r="A31" s="123"/>
      <c r="B31" s="124"/>
      <c r="C31" s="124"/>
      <c r="D31" s="106" t="s">
        <v>217</v>
      </c>
      <c r="E31" s="106" t="s">
        <v>200</v>
      </c>
      <c r="F31" s="106">
        <v>3</v>
      </c>
      <c r="G31" s="107" t="s">
        <v>189</v>
      </c>
      <c r="H31" s="107" t="s">
        <v>189</v>
      </c>
      <c r="I31" s="107" t="s">
        <v>189</v>
      </c>
      <c r="J31" s="107" t="s">
        <v>189</v>
      </c>
      <c r="K31" s="106">
        <f>SUM(F31:J31)</f>
        <v>3</v>
      </c>
      <c r="L31" s="126"/>
      <c r="M31" s="126"/>
      <c r="N31" s="126"/>
      <c r="O31" s="126"/>
      <c r="P31" s="126"/>
      <c r="Q31" s="126"/>
    </row>
    <row r="32" spans="1:17" ht="45" x14ac:dyDescent="0.25">
      <c r="A32" s="145">
        <v>9</v>
      </c>
      <c r="B32" s="117" t="s">
        <v>177</v>
      </c>
      <c r="C32" s="117" t="s">
        <v>56</v>
      </c>
      <c r="D32" s="103" t="s">
        <v>192</v>
      </c>
      <c r="E32" s="103" t="s">
        <v>109</v>
      </c>
      <c r="F32" s="103">
        <v>3</v>
      </c>
      <c r="G32" s="102" t="s">
        <v>189</v>
      </c>
      <c r="H32" s="104">
        <v>2</v>
      </c>
      <c r="I32" s="104">
        <v>2</v>
      </c>
      <c r="J32" s="104">
        <v>2</v>
      </c>
      <c r="K32" s="103">
        <f>SUM(F32:J32)</f>
        <v>9</v>
      </c>
      <c r="L32" s="148">
        <v>20</v>
      </c>
      <c r="M32" s="148">
        <v>2</v>
      </c>
      <c r="N32" s="148" t="s">
        <v>236</v>
      </c>
      <c r="O32" s="148">
        <v>1</v>
      </c>
      <c r="P32" s="148">
        <v>1</v>
      </c>
      <c r="Q32" s="148">
        <v>2</v>
      </c>
    </row>
    <row r="33" spans="1:17" ht="45" x14ac:dyDescent="0.25">
      <c r="A33" s="146"/>
      <c r="B33" s="147"/>
      <c r="C33" s="147"/>
      <c r="D33" s="103" t="s">
        <v>186</v>
      </c>
      <c r="E33" s="103" t="s">
        <v>109</v>
      </c>
      <c r="F33" s="102" t="s">
        <v>189</v>
      </c>
      <c r="G33" s="102" t="s">
        <v>189</v>
      </c>
      <c r="H33" s="104">
        <v>2</v>
      </c>
      <c r="I33" s="102" t="s">
        <v>189</v>
      </c>
      <c r="J33" s="102" t="s">
        <v>189</v>
      </c>
      <c r="K33" s="103">
        <f>SUM(F33:J33)</f>
        <v>2</v>
      </c>
      <c r="L33" s="149"/>
      <c r="M33" s="149"/>
      <c r="N33" s="149"/>
      <c r="O33" s="149"/>
      <c r="P33" s="149"/>
      <c r="Q33" s="149"/>
    </row>
    <row r="34" spans="1:17" ht="45" x14ac:dyDescent="0.25">
      <c r="A34" s="146"/>
      <c r="B34" s="147"/>
      <c r="C34" s="147"/>
      <c r="D34" s="103" t="s">
        <v>185</v>
      </c>
      <c r="E34" s="103" t="s">
        <v>109</v>
      </c>
      <c r="F34" s="102" t="s">
        <v>189</v>
      </c>
      <c r="G34" s="104">
        <v>2</v>
      </c>
      <c r="H34" s="102" t="s">
        <v>189</v>
      </c>
      <c r="I34" s="104">
        <v>2</v>
      </c>
      <c r="J34" s="102">
        <v>2</v>
      </c>
      <c r="K34" s="103">
        <f>SUM(F34:J34)</f>
        <v>6</v>
      </c>
      <c r="L34" s="149"/>
      <c r="M34" s="149"/>
      <c r="N34" s="149"/>
      <c r="O34" s="149"/>
      <c r="P34" s="149"/>
      <c r="Q34" s="149"/>
    </row>
    <row r="35" spans="1:17" ht="90.5" thickBot="1" x14ac:dyDescent="0.3">
      <c r="A35" s="165"/>
      <c r="B35" s="116"/>
      <c r="C35" s="116"/>
      <c r="D35" s="106" t="s">
        <v>219</v>
      </c>
      <c r="E35" s="101" t="s">
        <v>123</v>
      </c>
      <c r="F35" s="101">
        <v>3</v>
      </c>
      <c r="G35" s="102" t="s">
        <v>189</v>
      </c>
      <c r="H35" s="102" t="s">
        <v>189</v>
      </c>
      <c r="I35" s="102" t="s">
        <v>189</v>
      </c>
      <c r="J35" s="102" t="s">
        <v>189</v>
      </c>
      <c r="K35" s="103">
        <f>SUM(F35:J35)</f>
        <v>3</v>
      </c>
      <c r="L35" s="166"/>
      <c r="M35" s="166"/>
      <c r="N35" s="166"/>
      <c r="O35" s="166"/>
      <c r="P35" s="166"/>
      <c r="Q35" s="166"/>
    </row>
    <row r="36" spans="1:17" ht="45" x14ac:dyDescent="0.25">
      <c r="A36" s="122">
        <v>10</v>
      </c>
      <c r="B36" s="115" t="s">
        <v>178</v>
      </c>
      <c r="C36" s="115" t="s">
        <v>56</v>
      </c>
      <c r="D36" s="103" t="s">
        <v>186</v>
      </c>
      <c r="E36" s="103" t="s">
        <v>199</v>
      </c>
      <c r="F36" s="103">
        <v>3</v>
      </c>
      <c r="G36" s="104" t="s">
        <v>189</v>
      </c>
      <c r="H36" s="104" t="s">
        <v>189</v>
      </c>
      <c r="I36" s="104" t="s">
        <v>189</v>
      </c>
      <c r="J36" s="104" t="s">
        <v>189</v>
      </c>
      <c r="K36" s="103">
        <f>SUM(F36:J36)</f>
        <v>3</v>
      </c>
      <c r="L36" s="125">
        <v>22</v>
      </c>
      <c r="M36" s="125">
        <v>4</v>
      </c>
      <c r="N36" s="125" t="s">
        <v>231</v>
      </c>
      <c r="O36" s="125">
        <v>0</v>
      </c>
      <c r="P36" s="125">
        <v>1</v>
      </c>
      <c r="Q36" s="125">
        <v>1</v>
      </c>
    </row>
    <row r="37" spans="1:17" ht="45" x14ac:dyDescent="0.25">
      <c r="A37" s="146"/>
      <c r="B37" s="147"/>
      <c r="C37" s="147"/>
      <c r="D37" s="103" t="s">
        <v>185</v>
      </c>
      <c r="E37" s="103" t="s">
        <v>199</v>
      </c>
      <c r="F37" s="103">
        <v>3</v>
      </c>
      <c r="G37" s="104" t="s">
        <v>189</v>
      </c>
      <c r="H37" s="104" t="s">
        <v>189</v>
      </c>
      <c r="I37" s="104" t="s">
        <v>189</v>
      </c>
      <c r="J37" s="104" t="s">
        <v>189</v>
      </c>
      <c r="K37" s="103">
        <f>SUM(F37:J37)</f>
        <v>3</v>
      </c>
      <c r="L37" s="149"/>
      <c r="M37" s="149"/>
      <c r="N37" s="149"/>
      <c r="O37" s="149"/>
      <c r="P37" s="149"/>
      <c r="Q37" s="149"/>
    </row>
    <row r="38" spans="1:17" ht="45" x14ac:dyDescent="0.25">
      <c r="A38" s="146"/>
      <c r="B38" s="147"/>
      <c r="C38" s="147"/>
      <c r="D38" s="101" t="s">
        <v>190</v>
      </c>
      <c r="E38" s="101" t="s">
        <v>194</v>
      </c>
      <c r="F38" s="101" t="s">
        <v>189</v>
      </c>
      <c r="G38" s="102" t="s">
        <v>189</v>
      </c>
      <c r="H38" s="102" t="s">
        <v>189</v>
      </c>
      <c r="I38" s="102">
        <v>2</v>
      </c>
      <c r="J38" s="102">
        <v>2</v>
      </c>
      <c r="K38" s="103">
        <f>SUM(F38:J38)</f>
        <v>4</v>
      </c>
      <c r="L38" s="149"/>
      <c r="M38" s="149"/>
      <c r="N38" s="149"/>
      <c r="O38" s="149"/>
      <c r="P38" s="149"/>
      <c r="Q38" s="149"/>
    </row>
    <row r="39" spans="1:17" ht="45" x14ac:dyDescent="0.25">
      <c r="A39" s="146"/>
      <c r="B39" s="147"/>
      <c r="C39" s="147"/>
      <c r="D39" s="101" t="s">
        <v>187</v>
      </c>
      <c r="E39" s="101" t="s">
        <v>194</v>
      </c>
      <c r="F39" s="101" t="s">
        <v>189</v>
      </c>
      <c r="G39" s="102">
        <v>2</v>
      </c>
      <c r="H39" s="102">
        <v>2</v>
      </c>
      <c r="I39" s="102">
        <v>2</v>
      </c>
      <c r="J39" s="102">
        <v>2</v>
      </c>
      <c r="K39" s="101">
        <f>SUM(F39:J39)</f>
        <v>8</v>
      </c>
      <c r="L39" s="149"/>
      <c r="M39" s="149"/>
      <c r="N39" s="149"/>
      <c r="O39" s="149"/>
      <c r="P39" s="149"/>
      <c r="Q39" s="149"/>
    </row>
    <row r="40" spans="1:17" ht="45.5" thickBot="1" x14ac:dyDescent="0.3">
      <c r="A40" s="123"/>
      <c r="B40" s="124"/>
      <c r="C40" s="124"/>
      <c r="D40" s="106" t="s">
        <v>201</v>
      </c>
      <c r="E40" s="106" t="s">
        <v>202</v>
      </c>
      <c r="F40" s="106">
        <v>4</v>
      </c>
      <c r="G40" s="107" t="s">
        <v>189</v>
      </c>
      <c r="H40" s="107" t="s">
        <v>189</v>
      </c>
      <c r="I40" s="107" t="s">
        <v>189</v>
      </c>
      <c r="J40" s="107" t="s">
        <v>189</v>
      </c>
      <c r="K40" s="106">
        <f>SUM(F40:J40)</f>
        <v>4</v>
      </c>
      <c r="L40" s="126"/>
      <c r="M40" s="126"/>
      <c r="N40" s="126"/>
      <c r="O40" s="126"/>
      <c r="P40" s="126"/>
      <c r="Q40" s="126"/>
    </row>
    <row r="41" spans="1:17" ht="45" x14ac:dyDescent="0.25">
      <c r="A41" s="145">
        <v>11</v>
      </c>
      <c r="B41" s="117" t="s">
        <v>179</v>
      </c>
      <c r="C41" s="117" t="s">
        <v>56</v>
      </c>
      <c r="D41" s="103" t="s">
        <v>185</v>
      </c>
      <c r="E41" s="103" t="s">
        <v>109</v>
      </c>
      <c r="F41" s="103" t="s">
        <v>189</v>
      </c>
      <c r="G41" s="104" t="s">
        <v>189</v>
      </c>
      <c r="H41" s="104">
        <v>2</v>
      </c>
      <c r="I41" s="104" t="s">
        <v>189</v>
      </c>
      <c r="J41" s="104" t="s">
        <v>189</v>
      </c>
      <c r="K41" s="103">
        <f>SUM(F41:J41)</f>
        <v>2</v>
      </c>
      <c r="L41" s="167">
        <v>22</v>
      </c>
      <c r="M41" s="167">
        <v>4</v>
      </c>
      <c r="N41" s="167" t="s">
        <v>234</v>
      </c>
      <c r="O41" s="167">
        <v>0</v>
      </c>
      <c r="P41" s="167">
        <v>1</v>
      </c>
      <c r="Q41" s="167">
        <v>1</v>
      </c>
    </row>
    <row r="42" spans="1:17" ht="45" x14ac:dyDescent="0.25">
      <c r="A42" s="146"/>
      <c r="B42" s="147"/>
      <c r="C42" s="147"/>
      <c r="D42" s="103" t="s">
        <v>192</v>
      </c>
      <c r="E42" s="103" t="s">
        <v>109</v>
      </c>
      <c r="F42" s="103" t="s">
        <v>189</v>
      </c>
      <c r="G42" s="104">
        <v>2</v>
      </c>
      <c r="H42" s="104" t="s">
        <v>189</v>
      </c>
      <c r="I42" s="104" t="s">
        <v>189</v>
      </c>
      <c r="J42" s="104" t="s">
        <v>189</v>
      </c>
      <c r="K42" s="103">
        <f>SUM(F42:J42)</f>
        <v>2</v>
      </c>
      <c r="L42" s="168"/>
      <c r="M42" s="168"/>
      <c r="N42" s="168"/>
      <c r="O42" s="168"/>
      <c r="P42" s="168"/>
      <c r="Q42" s="168"/>
    </row>
    <row r="43" spans="1:17" ht="45" x14ac:dyDescent="0.25">
      <c r="A43" s="146"/>
      <c r="B43" s="147"/>
      <c r="C43" s="147"/>
      <c r="D43" s="103" t="s">
        <v>186</v>
      </c>
      <c r="E43" s="103" t="s">
        <v>109</v>
      </c>
      <c r="F43" s="103" t="s">
        <v>189</v>
      </c>
      <c r="G43" s="104">
        <v>2</v>
      </c>
      <c r="H43" s="104" t="s">
        <v>189</v>
      </c>
      <c r="I43" s="104" t="s">
        <v>189</v>
      </c>
      <c r="J43" s="104" t="s">
        <v>189</v>
      </c>
      <c r="K43" s="103">
        <f>SUM(F43:J43)</f>
        <v>2</v>
      </c>
      <c r="L43" s="168"/>
      <c r="M43" s="168"/>
      <c r="N43" s="168"/>
      <c r="O43" s="168"/>
      <c r="P43" s="168"/>
      <c r="Q43" s="168"/>
    </row>
    <row r="44" spans="1:17" ht="45" x14ac:dyDescent="0.25">
      <c r="A44" s="146"/>
      <c r="B44" s="147"/>
      <c r="C44" s="147"/>
      <c r="D44" s="101" t="s">
        <v>187</v>
      </c>
      <c r="E44" s="101" t="s">
        <v>196</v>
      </c>
      <c r="F44" s="101">
        <v>3</v>
      </c>
      <c r="G44" s="102">
        <v>2</v>
      </c>
      <c r="H44" s="102">
        <v>2</v>
      </c>
      <c r="I44" s="102">
        <v>2</v>
      </c>
      <c r="J44" s="102">
        <v>2</v>
      </c>
      <c r="K44" s="103">
        <f>SUM(F44:J44)</f>
        <v>11</v>
      </c>
      <c r="L44" s="168"/>
      <c r="M44" s="168"/>
      <c r="N44" s="168"/>
      <c r="O44" s="168"/>
      <c r="P44" s="168"/>
      <c r="Q44" s="168"/>
    </row>
    <row r="45" spans="1:17" ht="45.5" thickBot="1" x14ac:dyDescent="0.3">
      <c r="A45" s="146"/>
      <c r="B45" s="147"/>
      <c r="C45" s="147"/>
      <c r="D45" s="111" t="s">
        <v>220</v>
      </c>
      <c r="E45" s="111"/>
      <c r="F45" s="111">
        <v>3</v>
      </c>
      <c r="G45" s="107" t="s">
        <v>189</v>
      </c>
      <c r="H45" s="107" t="s">
        <v>189</v>
      </c>
      <c r="I45" s="107" t="s">
        <v>189</v>
      </c>
      <c r="J45" s="107" t="s">
        <v>189</v>
      </c>
      <c r="K45" s="103">
        <f>SUM(F45:J45)</f>
        <v>3</v>
      </c>
      <c r="L45" s="168"/>
      <c r="M45" s="168"/>
      <c r="N45" s="168"/>
      <c r="O45" s="168"/>
      <c r="P45" s="168"/>
      <c r="Q45" s="168"/>
    </row>
    <row r="46" spans="1:17" ht="90.5" thickBot="1" x14ac:dyDescent="0.3">
      <c r="A46" s="123"/>
      <c r="B46" s="124"/>
      <c r="C46" s="124"/>
      <c r="D46" s="108" t="s">
        <v>203</v>
      </c>
      <c r="E46" s="108" t="s">
        <v>204</v>
      </c>
      <c r="F46" s="106">
        <v>2</v>
      </c>
      <c r="G46" s="107" t="s">
        <v>189</v>
      </c>
      <c r="H46" s="107" t="s">
        <v>189</v>
      </c>
      <c r="I46" s="107" t="s">
        <v>189</v>
      </c>
      <c r="J46" s="107" t="s">
        <v>189</v>
      </c>
      <c r="K46" s="103">
        <f>SUM(F46:J46)</f>
        <v>2</v>
      </c>
      <c r="L46" s="169"/>
      <c r="M46" s="169"/>
      <c r="N46" s="169"/>
      <c r="O46" s="169"/>
      <c r="P46" s="169"/>
      <c r="Q46" s="169"/>
    </row>
    <row r="47" spans="1:17" ht="45" x14ac:dyDescent="0.25">
      <c r="A47" s="145">
        <v>12</v>
      </c>
      <c r="B47" s="117" t="s">
        <v>224</v>
      </c>
      <c r="C47" s="117" t="s">
        <v>56</v>
      </c>
      <c r="D47" s="103" t="s">
        <v>190</v>
      </c>
      <c r="E47" s="103" t="s">
        <v>191</v>
      </c>
      <c r="F47" s="103">
        <v>3</v>
      </c>
      <c r="G47" s="104">
        <v>2</v>
      </c>
      <c r="H47" s="104">
        <v>2</v>
      </c>
      <c r="I47" s="104">
        <v>2</v>
      </c>
      <c r="J47" s="104" t="s">
        <v>189</v>
      </c>
      <c r="K47" s="103">
        <f>SUM(F47:J47)</f>
        <v>9</v>
      </c>
      <c r="L47" s="148">
        <v>20</v>
      </c>
      <c r="M47" s="148">
        <v>2</v>
      </c>
      <c r="N47" s="148" t="s">
        <v>238</v>
      </c>
      <c r="O47" s="148">
        <v>0</v>
      </c>
      <c r="P47" s="148">
        <v>1</v>
      </c>
      <c r="Q47" s="148">
        <v>1</v>
      </c>
    </row>
    <row r="48" spans="1:17" ht="45" x14ac:dyDescent="0.25">
      <c r="A48" s="146"/>
      <c r="B48" s="147"/>
      <c r="C48" s="147"/>
      <c r="D48" s="109" t="s">
        <v>195</v>
      </c>
      <c r="E48" s="109" t="s">
        <v>191</v>
      </c>
      <c r="F48" s="104" t="s">
        <v>189</v>
      </c>
      <c r="G48" s="104" t="s">
        <v>189</v>
      </c>
      <c r="H48" s="104" t="s">
        <v>189</v>
      </c>
      <c r="I48" s="104">
        <v>2</v>
      </c>
      <c r="J48" s="110">
        <v>2</v>
      </c>
      <c r="K48" s="103">
        <f>SUM(F48:J48)</f>
        <v>4</v>
      </c>
      <c r="L48" s="149"/>
      <c r="M48" s="149"/>
      <c r="N48" s="149"/>
      <c r="O48" s="149"/>
      <c r="P48" s="149"/>
      <c r="Q48" s="149"/>
    </row>
    <row r="49" spans="1:17" ht="90.5" thickBot="1" x14ac:dyDescent="0.3">
      <c r="A49" s="123"/>
      <c r="B49" s="124"/>
      <c r="C49" s="124"/>
      <c r="D49" s="106" t="s">
        <v>205</v>
      </c>
      <c r="E49" s="106" t="s">
        <v>206</v>
      </c>
      <c r="F49" s="106">
        <v>3</v>
      </c>
      <c r="G49" s="107">
        <v>2</v>
      </c>
      <c r="H49" s="107">
        <v>2</v>
      </c>
      <c r="I49" s="107" t="s">
        <v>189</v>
      </c>
      <c r="J49" s="107" t="s">
        <v>189</v>
      </c>
      <c r="K49" s="103">
        <f>SUM(F49:J49)</f>
        <v>7</v>
      </c>
      <c r="L49" s="126"/>
      <c r="M49" s="126"/>
      <c r="N49" s="126"/>
      <c r="O49" s="126"/>
      <c r="P49" s="126"/>
      <c r="Q49" s="126"/>
    </row>
    <row r="50" spans="1:17" ht="45" x14ac:dyDescent="0.25">
      <c r="A50" s="145">
        <v>13</v>
      </c>
      <c r="B50" s="117" t="s">
        <v>180</v>
      </c>
      <c r="C50" s="117" t="s">
        <v>56</v>
      </c>
      <c r="D50" s="103" t="s">
        <v>187</v>
      </c>
      <c r="E50" s="103" t="s">
        <v>188</v>
      </c>
      <c r="F50" s="103">
        <v>3</v>
      </c>
      <c r="G50" s="104">
        <v>2</v>
      </c>
      <c r="H50" s="104">
        <v>2</v>
      </c>
      <c r="I50" s="104">
        <v>2</v>
      </c>
      <c r="J50" s="104" t="s">
        <v>189</v>
      </c>
      <c r="K50" s="103">
        <f>SUM(F50:J50)</f>
        <v>9</v>
      </c>
      <c r="L50" s="148">
        <v>21</v>
      </c>
      <c r="M50" s="148">
        <v>3</v>
      </c>
      <c r="N50" s="148" t="s">
        <v>239</v>
      </c>
      <c r="O50" s="148">
        <v>0</v>
      </c>
      <c r="P50" s="148">
        <v>1</v>
      </c>
      <c r="Q50" s="148">
        <v>1</v>
      </c>
    </row>
    <row r="51" spans="1:17" ht="45" x14ac:dyDescent="0.25">
      <c r="A51" s="146"/>
      <c r="B51" s="147"/>
      <c r="C51" s="147"/>
      <c r="D51" s="109" t="s">
        <v>190</v>
      </c>
      <c r="E51" s="109" t="s">
        <v>188</v>
      </c>
      <c r="F51" s="109">
        <v>3</v>
      </c>
      <c r="G51" s="104" t="s">
        <v>189</v>
      </c>
      <c r="H51" s="104" t="s">
        <v>189</v>
      </c>
      <c r="I51" s="104" t="s">
        <v>189</v>
      </c>
      <c r="J51" s="104" t="s">
        <v>189</v>
      </c>
      <c r="K51" s="103">
        <f>SUM(F51:J51)</f>
        <v>3</v>
      </c>
      <c r="L51" s="149"/>
      <c r="M51" s="149"/>
      <c r="N51" s="149"/>
      <c r="O51" s="149"/>
      <c r="P51" s="149"/>
      <c r="Q51" s="149"/>
    </row>
    <row r="52" spans="1:17" ht="90.5" thickBot="1" x14ac:dyDescent="0.3">
      <c r="A52" s="123"/>
      <c r="B52" s="124"/>
      <c r="C52" s="124"/>
      <c r="D52" s="106" t="s">
        <v>207</v>
      </c>
      <c r="E52" s="106" t="s">
        <v>128</v>
      </c>
      <c r="F52" s="106">
        <v>3</v>
      </c>
      <c r="G52" s="107">
        <v>2</v>
      </c>
      <c r="H52" s="107">
        <v>2</v>
      </c>
      <c r="I52" s="107">
        <v>2</v>
      </c>
      <c r="J52" s="107" t="s">
        <v>189</v>
      </c>
      <c r="K52" s="103">
        <f>SUM(F52:J52)</f>
        <v>9</v>
      </c>
      <c r="L52" s="126"/>
      <c r="M52" s="126"/>
      <c r="N52" s="126"/>
      <c r="O52" s="126"/>
      <c r="P52" s="126"/>
      <c r="Q52" s="126"/>
    </row>
    <row r="53" spans="1:17" ht="45" x14ac:dyDescent="0.25">
      <c r="A53" s="145">
        <v>14</v>
      </c>
      <c r="B53" s="117" t="s">
        <v>181</v>
      </c>
      <c r="C53" s="117" t="s">
        <v>56</v>
      </c>
      <c r="D53" s="103" t="s">
        <v>192</v>
      </c>
      <c r="E53" s="103" t="s">
        <v>199</v>
      </c>
      <c r="F53" s="103">
        <v>3</v>
      </c>
      <c r="G53" s="104" t="s">
        <v>189</v>
      </c>
      <c r="H53" s="104" t="s">
        <v>189</v>
      </c>
      <c r="I53" s="104" t="s">
        <v>189</v>
      </c>
      <c r="J53" s="104" t="s">
        <v>189</v>
      </c>
      <c r="K53" s="103">
        <f>SUM(F53:J53)</f>
        <v>3</v>
      </c>
      <c r="L53" s="148">
        <v>22</v>
      </c>
      <c r="M53" s="148">
        <v>4</v>
      </c>
      <c r="N53" s="148" t="s">
        <v>233</v>
      </c>
      <c r="O53" s="148">
        <v>0</v>
      </c>
      <c r="P53" s="148">
        <v>1</v>
      </c>
      <c r="Q53" s="148">
        <v>1</v>
      </c>
    </row>
    <row r="54" spans="1:17" ht="45" x14ac:dyDescent="0.25">
      <c r="A54" s="146"/>
      <c r="B54" s="147"/>
      <c r="C54" s="147"/>
      <c r="D54" s="103" t="s">
        <v>190</v>
      </c>
      <c r="E54" s="103" t="s">
        <v>191</v>
      </c>
      <c r="F54" s="103" t="s">
        <v>189</v>
      </c>
      <c r="G54" s="104" t="s">
        <v>189</v>
      </c>
      <c r="H54" s="104" t="s">
        <v>189</v>
      </c>
      <c r="I54" s="104" t="s">
        <v>189</v>
      </c>
      <c r="J54" s="104">
        <v>2</v>
      </c>
      <c r="K54" s="103">
        <f>SUM(F54:J54)</f>
        <v>2</v>
      </c>
      <c r="L54" s="149"/>
      <c r="M54" s="149"/>
      <c r="N54" s="149"/>
      <c r="O54" s="149"/>
      <c r="P54" s="149"/>
      <c r="Q54" s="149"/>
    </row>
    <row r="55" spans="1:17" ht="45" x14ac:dyDescent="0.25">
      <c r="A55" s="146"/>
      <c r="B55" s="147"/>
      <c r="C55" s="147"/>
      <c r="D55" s="101" t="s">
        <v>187</v>
      </c>
      <c r="E55" s="101" t="s">
        <v>191</v>
      </c>
      <c r="F55" s="101" t="s">
        <v>189</v>
      </c>
      <c r="G55" s="102">
        <v>2</v>
      </c>
      <c r="H55" s="102" t="s">
        <v>189</v>
      </c>
      <c r="I55" s="102" t="s">
        <v>189</v>
      </c>
      <c r="J55" s="102">
        <v>2</v>
      </c>
      <c r="K55" s="101">
        <f>SUM(F55:J55)</f>
        <v>4</v>
      </c>
      <c r="L55" s="149"/>
      <c r="M55" s="149"/>
      <c r="N55" s="149"/>
      <c r="O55" s="149"/>
      <c r="P55" s="149"/>
      <c r="Q55" s="149"/>
    </row>
    <row r="56" spans="1:17" ht="45" x14ac:dyDescent="0.25">
      <c r="A56" s="146"/>
      <c r="B56" s="147"/>
      <c r="C56" s="147"/>
      <c r="D56" s="109" t="s">
        <v>195</v>
      </c>
      <c r="E56" s="109" t="s">
        <v>191</v>
      </c>
      <c r="F56" s="104" t="s">
        <v>189</v>
      </c>
      <c r="G56" s="102">
        <v>2</v>
      </c>
      <c r="H56" s="102" t="s">
        <v>189</v>
      </c>
      <c r="I56" s="102" t="s">
        <v>189</v>
      </c>
      <c r="J56" s="102" t="s">
        <v>189</v>
      </c>
      <c r="K56" s="101">
        <f>SUM(F56:J56)</f>
        <v>2</v>
      </c>
      <c r="L56" s="149"/>
      <c r="M56" s="149"/>
      <c r="N56" s="149"/>
      <c r="O56" s="149"/>
      <c r="P56" s="149"/>
      <c r="Q56" s="149"/>
    </row>
    <row r="57" spans="1:17" ht="45.5" thickBot="1" x14ac:dyDescent="0.3">
      <c r="A57" s="123"/>
      <c r="B57" s="124"/>
      <c r="C57" s="124"/>
      <c r="D57" s="106" t="s">
        <v>195</v>
      </c>
      <c r="E57" s="106" t="s">
        <v>188</v>
      </c>
      <c r="F57" s="106">
        <v>3</v>
      </c>
      <c r="G57" s="107">
        <v>2</v>
      </c>
      <c r="H57" s="107">
        <v>2</v>
      </c>
      <c r="I57" s="107">
        <v>2</v>
      </c>
      <c r="J57" s="107">
        <v>2</v>
      </c>
      <c r="K57" s="106">
        <f>SUM(F57:J57)</f>
        <v>11</v>
      </c>
      <c r="L57" s="126"/>
      <c r="M57" s="126"/>
      <c r="N57" s="126"/>
      <c r="O57" s="126"/>
      <c r="P57" s="126"/>
      <c r="Q57" s="126"/>
    </row>
    <row r="58" spans="1:17" ht="45" x14ac:dyDescent="0.25">
      <c r="A58" s="145">
        <v>15</v>
      </c>
      <c r="B58" s="117" t="s">
        <v>182</v>
      </c>
      <c r="C58" s="117" t="s">
        <v>56</v>
      </c>
      <c r="D58" s="103" t="s">
        <v>187</v>
      </c>
      <c r="E58" s="103" t="s">
        <v>147</v>
      </c>
      <c r="F58" s="103">
        <v>3</v>
      </c>
      <c r="G58" s="104">
        <v>2</v>
      </c>
      <c r="H58" s="104">
        <v>2</v>
      </c>
      <c r="I58" s="104">
        <v>2</v>
      </c>
      <c r="J58" s="104">
        <v>2</v>
      </c>
      <c r="K58" s="103">
        <f>SUM(F58:J58)</f>
        <v>11</v>
      </c>
      <c r="L58" s="148">
        <v>22</v>
      </c>
      <c r="M58" s="148">
        <v>4</v>
      </c>
      <c r="N58" s="148" t="s">
        <v>232</v>
      </c>
      <c r="O58" s="148">
        <v>0</v>
      </c>
      <c r="P58" s="148">
        <v>1</v>
      </c>
      <c r="Q58" s="148">
        <v>1</v>
      </c>
    </row>
    <row r="59" spans="1:17" ht="45" x14ac:dyDescent="0.25">
      <c r="A59" s="146"/>
      <c r="B59" s="147"/>
      <c r="C59" s="147"/>
      <c r="D59" s="101" t="s">
        <v>208</v>
      </c>
      <c r="E59" s="101" t="s">
        <v>209</v>
      </c>
      <c r="F59" s="101">
        <v>2</v>
      </c>
      <c r="G59" s="102">
        <v>2</v>
      </c>
      <c r="H59" s="102">
        <v>2</v>
      </c>
      <c r="I59" s="102">
        <v>2</v>
      </c>
      <c r="J59" s="102" t="s">
        <v>189</v>
      </c>
      <c r="K59" s="101">
        <f>SUM(F59:J59)</f>
        <v>8</v>
      </c>
      <c r="L59" s="149"/>
      <c r="M59" s="149"/>
      <c r="N59" s="149"/>
      <c r="O59" s="149"/>
      <c r="P59" s="149"/>
      <c r="Q59" s="149"/>
    </row>
    <row r="60" spans="1:17" ht="45" x14ac:dyDescent="0.25">
      <c r="A60" s="165"/>
      <c r="B60" s="116"/>
      <c r="C60" s="116"/>
      <c r="D60" s="101" t="s">
        <v>221</v>
      </c>
      <c r="E60" s="101"/>
      <c r="F60" s="101">
        <v>3</v>
      </c>
      <c r="G60" s="102" t="s">
        <v>189</v>
      </c>
      <c r="H60" s="102" t="s">
        <v>189</v>
      </c>
      <c r="I60" s="102" t="s">
        <v>189</v>
      </c>
      <c r="J60" s="102" t="s">
        <v>189</v>
      </c>
      <c r="K60" s="101">
        <f>SUM(F60:J60)</f>
        <v>3</v>
      </c>
      <c r="L60" s="166"/>
      <c r="M60" s="166"/>
      <c r="N60" s="166"/>
      <c r="O60" s="166"/>
      <c r="P60" s="166"/>
      <c r="Q60" s="166"/>
    </row>
    <row r="61" spans="1:17" ht="45" x14ac:dyDescent="0.25">
      <c r="A61" s="122">
        <v>16</v>
      </c>
      <c r="B61" s="115" t="s">
        <v>183</v>
      </c>
      <c r="C61" s="115" t="s">
        <v>56</v>
      </c>
      <c r="D61" s="101" t="s">
        <v>192</v>
      </c>
      <c r="E61" s="101" t="s">
        <v>214</v>
      </c>
      <c r="F61" s="101">
        <v>3</v>
      </c>
      <c r="G61" s="102">
        <v>2</v>
      </c>
      <c r="H61" s="102">
        <v>2</v>
      </c>
      <c r="I61" s="102">
        <v>2</v>
      </c>
      <c r="J61" s="102">
        <v>2</v>
      </c>
      <c r="K61" s="101">
        <f>SUM(F61:J61)</f>
        <v>11</v>
      </c>
      <c r="L61" s="125">
        <v>19</v>
      </c>
      <c r="M61" s="125">
        <v>1</v>
      </c>
      <c r="N61" s="125" t="s">
        <v>240</v>
      </c>
      <c r="O61" s="125">
        <v>0</v>
      </c>
      <c r="P61" s="125">
        <v>1</v>
      </c>
      <c r="Q61" s="125">
        <v>1</v>
      </c>
    </row>
    <row r="62" spans="1:17" ht="45.5" thickBot="1" x14ac:dyDescent="0.3">
      <c r="A62" s="146"/>
      <c r="B62" s="147"/>
      <c r="C62" s="147"/>
      <c r="D62" s="111" t="s">
        <v>212</v>
      </c>
      <c r="E62" s="111" t="s">
        <v>209</v>
      </c>
      <c r="F62" s="102" t="s">
        <v>189</v>
      </c>
      <c r="G62" s="102" t="s">
        <v>189</v>
      </c>
      <c r="H62" s="112">
        <v>2</v>
      </c>
      <c r="I62" s="107" t="s">
        <v>189</v>
      </c>
      <c r="J62" s="107" t="s">
        <v>189</v>
      </c>
      <c r="K62" s="101">
        <f>SUM(F62:J62)</f>
        <v>2</v>
      </c>
      <c r="L62" s="149"/>
      <c r="M62" s="149"/>
      <c r="N62" s="149"/>
      <c r="O62" s="149"/>
      <c r="P62" s="149"/>
      <c r="Q62" s="149"/>
    </row>
    <row r="63" spans="1:17" ht="45.5" thickBot="1" x14ac:dyDescent="0.3">
      <c r="A63" s="123"/>
      <c r="B63" s="124"/>
      <c r="C63" s="124"/>
      <c r="D63" s="106" t="s">
        <v>210</v>
      </c>
      <c r="E63" s="106" t="s">
        <v>209</v>
      </c>
      <c r="F63" s="106">
        <v>2</v>
      </c>
      <c r="G63" s="107">
        <v>2</v>
      </c>
      <c r="H63" s="107" t="s">
        <v>189</v>
      </c>
      <c r="I63" s="107">
        <v>2</v>
      </c>
      <c r="J63" s="107" t="s">
        <v>189</v>
      </c>
      <c r="K63" s="101">
        <f>SUM(F63:J63)</f>
        <v>6</v>
      </c>
      <c r="L63" s="126"/>
      <c r="M63" s="126"/>
      <c r="N63" s="126"/>
      <c r="O63" s="126"/>
      <c r="P63" s="126"/>
      <c r="Q63" s="126"/>
    </row>
    <row r="64" spans="1:17" ht="45" x14ac:dyDescent="0.25">
      <c r="A64" s="145">
        <v>17</v>
      </c>
      <c r="B64" s="117" t="s">
        <v>211</v>
      </c>
      <c r="C64" s="117" t="s">
        <v>56</v>
      </c>
      <c r="D64" s="103" t="s">
        <v>192</v>
      </c>
      <c r="E64" s="103" t="s">
        <v>193</v>
      </c>
      <c r="F64" s="103">
        <v>2</v>
      </c>
      <c r="G64" s="104" t="s">
        <v>189</v>
      </c>
      <c r="H64" s="104" t="s">
        <v>189</v>
      </c>
      <c r="I64" s="104" t="s">
        <v>189</v>
      </c>
      <c r="J64" s="104" t="s">
        <v>189</v>
      </c>
      <c r="K64" s="103">
        <f>SUM(F64:J64)</f>
        <v>2</v>
      </c>
      <c r="L64" s="148">
        <v>20</v>
      </c>
      <c r="M64" s="148">
        <v>2</v>
      </c>
      <c r="N64" s="148" t="s">
        <v>241</v>
      </c>
      <c r="O64" s="148">
        <v>0</v>
      </c>
      <c r="P64" s="148">
        <v>1</v>
      </c>
      <c r="Q64" s="148">
        <v>1</v>
      </c>
    </row>
    <row r="65" spans="1:17" ht="45" x14ac:dyDescent="0.25">
      <c r="A65" s="146"/>
      <c r="B65" s="147"/>
      <c r="C65" s="147"/>
      <c r="D65" s="101" t="s">
        <v>186</v>
      </c>
      <c r="E65" s="101" t="s">
        <v>193</v>
      </c>
      <c r="F65" s="101">
        <v>2</v>
      </c>
      <c r="G65" s="102" t="s">
        <v>189</v>
      </c>
      <c r="H65" s="102" t="s">
        <v>189</v>
      </c>
      <c r="I65" s="102" t="s">
        <v>189</v>
      </c>
      <c r="J65" s="102" t="s">
        <v>189</v>
      </c>
      <c r="K65" s="103">
        <f>SUM(F65:J65)</f>
        <v>2</v>
      </c>
      <c r="L65" s="149"/>
      <c r="M65" s="149"/>
      <c r="N65" s="149"/>
      <c r="O65" s="149"/>
      <c r="P65" s="149"/>
      <c r="Q65" s="149"/>
    </row>
    <row r="66" spans="1:17" ht="45" x14ac:dyDescent="0.25">
      <c r="A66" s="146"/>
      <c r="B66" s="147"/>
      <c r="C66" s="147"/>
      <c r="D66" s="101" t="s">
        <v>190</v>
      </c>
      <c r="E66" s="101" t="s">
        <v>188</v>
      </c>
      <c r="F66" s="101" t="s">
        <v>189</v>
      </c>
      <c r="G66" s="102">
        <v>2</v>
      </c>
      <c r="H66" s="102">
        <v>2</v>
      </c>
      <c r="I66" s="102">
        <v>2</v>
      </c>
      <c r="J66" s="102">
        <v>2</v>
      </c>
      <c r="K66" s="103">
        <f>SUM(F66:J66)</f>
        <v>8</v>
      </c>
      <c r="L66" s="149"/>
      <c r="M66" s="149"/>
      <c r="N66" s="149"/>
      <c r="O66" s="149"/>
      <c r="P66" s="149"/>
      <c r="Q66" s="149"/>
    </row>
    <row r="67" spans="1:17" ht="45.5" thickBot="1" x14ac:dyDescent="0.3">
      <c r="A67" s="146"/>
      <c r="B67" s="147"/>
      <c r="C67" s="147"/>
      <c r="D67" s="111" t="s">
        <v>210</v>
      </c>
      <c r="E67" s="106" t="s">
        <v>209</v>
      </c>
      <c r="F67" s="102" t="s">
        <v>189</v>
      </c>
      <c r="G67" s="102" t="s">
        <v>189</v>
      </c>
      <c r="H67" s="112">
        <v>2</v>
      </c>
      <c r="I67" s="107" t="s">
        <v>189</v>
      </c>
      <c r="J67" s="107" t="s">
        <v>189</v>
      </c>
      <c r="K67" s="103">
        <f>SUM(F67:J67)</f>
        <v>2</v>
      </c>
      <c r="L67" s="149"/>
      <c r="M67" s="149"/>
      <c r="N67" s="149"/>
      <c r="O67" s="149"/>
      <c r="P67" s="149"/>
      <c r="Q67" s="149"/>
    </row>
    <row r="68" spans="1:17" ht="45.5" thickBot="1" x14ac:dyDescent="0.3">
      <c r="A68" s="123"/>
      <c r="B68" s="124"/>
      <c r="C68" s="124"/>
      <c r="D68" s="106" t="s">
        <v>212</v>
      </c>
      <c r="E68" s="106" t="s">
        <v>209</v>
      </c>
      <c r="F68" s="106">
        <v>2</v>
      </c>
      <c r="G68" s="107">
        <v>2</v>
      </c>
      <c r="H68" s="102" t="s">
        <v>189</v>
      </c>
      <c r="I68" s="107">
        <v>2</v>
      </c>
      <c r="J68" s="107" t="s">
        <v>189</v>
      </c>
      <c r="K68" s="103">
        <f>SUM(F68:J68)</f>
        <v>6</v>
      </c>
      <c r="L68" s="126"/>
      <c r="M68" s="126"/>
      <c r="N68" s="126"/>
      <c r="O68" s="126"/>
      <c r="P68" s="126"/>
      <c r="Q68" s="126"/>
    </row>
    <row r="69" spans="1:17" ht="45" x14ac:dyDescent="0.25">
      <c r="C69" s="94"/>
      <c r="D69" s="96"/>
      <c r="E69" s="96"/>
      <c r="F69" s="96"/>
      <c r="G69" s="97"/>
      <c r="H69" s="97"/>
      <c r="I69" s="97"/>
      <c r="J69" s="97"/>
      <c r="K69" s="97"/>
      <c r="L69" s="97"/>
      <c r="M69" s="95"/>
      <c r="N69" s="95"/>
      <c r="O69" s="95"/>
      <c r="P69" s="95"/>
      <c r="Q69" s="95"/>
    </row>
  </sheetData>
  <mergeCells count="172">
    <mergeCell ref="O61:O63"/>
    <mergeCell ref="P61:P63"/>
    <mergeCell ref="Q61:Q63"/>
    <mergeCell ref="O64:O68"/>
    <mergeCell ref="P64:P68"/>
    <mergeCell ref="Q64:Q68"/>
    <mergeCell ref="O50:O52"/>
    <mergeCell ref="P50:P52"/>
    <mergeCell ref="Q50:Q52"/>
    <mergeCell ref="O53:O57"/>
    <mergeCell ref="P53:P57"/>
    <mergeCell ref="Q53:Q57"/>
    <mergeCell ref="O58:O60"/>
    <mergeCell ref="P58:P60"/>
    <mergeCell ref="Q58:Q60"/>
    <mergeCell ref="O36:O40"/>
    <mergeCell ref="P36:P40"/>
    <mergeCell ref="Q36:Q40"/>
    <mergeCell ref="O41:O46"/>
    <mergeCell ref="P41:P46"/>
    <mergeCell ref="Q41:Q46"/>
    <mergeCell ref="O47:O49"/>
    <mergeCell ref="P47:P49"/>
    <mergeCell ref="Q47:Q49"/>
    <mergeCell ref="O26:O27"/>
    <mergeCell ref="P26:P27"/>
    <mergeCell ref="Q26:Q27"/>
    <mergeCell ref="O28:O31"/>
    <mergeCell ref="P28:P31"/>
    <mergeCell ref="Q28:Q31"/>
    <mergeCell ref="O32:O35"/>
    <mergeCell ref="P32:P35"/>
    <mergeCell ref="Q32:Q35"/>
    <mergeCell ref="O15:O19"/>
    <mergeCell ref="P15:P19"/>
    <mergeCell ref="Q15:Q19"/>
    <mergeCell ref="O20:O22"/>
    <mergeCell ref="P20:P22"/>
    <mergeCell ref="Q20:Q22"/>
    <mergeCell ref="O23:O25"/>
    <mergeCell ref="P23:P25"/>
    <mergeCell ref="Q23:Q25"/>
    <mergeCell ref="P4:P6"/>
    <mergeCell ref="Q4:Q6"/>
    <mergeCell ref="O7:O8"/>
    <mergeCell ref="P7:P8"/>
    <mergeCell ref="Q7:Q8"/>
    <mergeCell ref="O9:O10"/>
    <mergeCell ref="P9:P10"/>
    <mergeCell ref="Q9:Q10"/>
    <mergeCell ref="O11:O14"/>
    <mergeCell ref="P11:P14"/>
    <mergeCell ref="Q11:Q14"/>
    <mergeCell ref="A2:O2"/>
    <mergeCell ref="N50:N52"/>
    <mergeCell ref="N53:N57"/>
    <mergeCell ref="N58:N60"/>
    <mergeCell ref="N61:N63"/>
    <mergeCell ref="N64:N68"/>
    <mergeCell ref="N26:N27"/>
    <mergeCell ref="N28:N31"/>
    <mergeCell ref="N32:N35"/>
    <mergeCell ref="N36:N40"/>
    <mergeCell ref="N41:N46"/>
    <mergeCell ref="N47:N49"/>
    <mergeCell ref="N4:N6"/>
    <mergeCell ref="N7:N8"/>
    <mergeCell ref="N9:N10"/>
    <mergeCell ref="N11:N14"/>
    <mergeCell ref="N15:N19"/>
    <mergeCell ref="N20:N22"/>
    <mergeCell ref="N23:N25"/>
    <mergeCell ref="M47:M49"/>
    <mergeCell ref="M50:M52"/>
    <mergeCell ref="M53:M57"/>
    <mergeCell ref="M58:M60"/>
    <mergeCell ref="M61:M63"/>
    <mergeCell ref="M64:M68"/>
    <mergeCell ref="M23:M25"/>
    <mergeCell ref="M26:M27"/>
    <mergeCell ref="M28:M31"/>
    <mergeCell ref="M32:M35"/>
    <mergeCell ref="M36:M40"/>
    <mergeCell ref="M41:M46"/>
    <mergeCell ref="M4:M6"/>
    <mergeCell ref="M7:M8"/>
    <mergeCell ref="M9:M10"/>
    <mergeCell ref="M11:M14"/>
    <mergeCell ref="M15:M19"/>
    <mergeCell ref="M20:M22"/>
    <mergeCell ref="A64:A68"/>
    <mergeCell ref="B64:B68"/>
    <mergeCell ref="C64:C68"/>
    <mergeCell ref="L64:L68"/>
    <mergeCell ref="A58:A60"/>
    <mergeCell ref="B58:B60"/>
    <mergeCell ref="C58:C60"/>
    <mergeCell ref="L58:L60"/>
    <mergeCell ref="A61:A63"/>
    <mergeCell ref="B61:B63"/>
    <mergeCell ref="C61:C63"/>
    <mergeCell ref="L61:L63"/>
    <mergeCell ref="A50:A52"/>
    <mergeCell ref="B50:B52"/>
    <mergeCell ref="C50:C52"/>
    <mergeCell ref="L50:L52"/>
    <mergeCell ref="A53:A57"/>
    <mergeCell ref="B53:B57"/>
    <mergeCell ref="C53:C57"/>
    <mergeCell ref="L53:L57"/>
    <mergeCell ref="A41:A46"/>
    <mergeCell ref="B41:B46"/>
    <mergeCell ref="C41:C46"/>
    <mergeCell ref="L41:L46"/>
    <mergeCell ref="A47:A49"/>
    <mergeCell ref="B47:B49"/>
    <mergeCell ref="C47:C49"/>
    <mergeCell ref="L47:L49"/>
    <mergeCell ref="A32:A35"/>
    <mergeCell ref="B32:B35"/>
    <mergeCell ref="C32:C35"/>
    <mergeCell ref="L32:L35"/>
    <mergeCell ref="A36:A40"/>
    <mergeCell ref="B36:B40"/>
    <mergeCell ref="C36:C40"/>
    <mergeCell ref="L36:L40"/>
    <mergeCell ref="A26:A27"/>
    <mergeCell ref="B26:B27"/>
    <mergeCell ref="C26:C27"/>
    <mergeCell ref="L26:L27"/>
    <mergeCell ref="A28:A31"/>
    <mergeCell ref="B28:B31"/>
    <mergeCell ref="C28:C31"/>
    <mergeCell ref="L28:L31"/>
    <mergeCell ref="A20:A22"/>
    <mergeCell ref="B20:B22"/>
    <mergeCell ref="C20:C22"/>
    <mergeCell ref="L20:L22"/>
    <mergeCell ref="A23:A25"/>
    <mergeCell ref="B23:B25"/>
    <mergeCell ref="C23:C25"/>
    <mergeCell ref="L23:L25"/>
    <mergeCell ref="A11:A14"/>
    <mergeCell ref="B11:B14"/>
    <mergeCell ref="C11:C14"/>
    <mergeCell ref="L11:L14"/>
    <mergeCell ref="A15:A19"/>
    <mergeCell ref="B15:B19"/>
    <mergeCell ref="C15:C19"/>
    <mergeCell ref="L15:L19"/>
    <mergeCell ref="A7:A8"/>
    <mergeCell ref="B7:B8"/>
    <mergeCell ref="C7:C8"/>
    <mergeCell ref="L7:L8"/>
    <mergeCell ref="A9:A10"/>
    <mergeCell ref="B9:B10"/>
    <mergeCell ref="C9:C10"/>
    <mergeCell ref="L9:L10"/>
    <mergeCell ref="O4:O6"/>
    <mergeCell ref="G4:J4"/>
    <mergeCell ref="K4:K6"/>
    <mergeCell ref="L4:L6"/>
    <mergeCell ref="G5:G6"/>
    <mergeCell ref="H5:H6"/>
    <mergeCell ref="I5:I6"/>
    <mergeCell ref="J5:J6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  <pageSetup paperSize="9" scale="2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AO1000"/>
  <sheetViews>
    <sheetView workbookViewId="0"/>
  </sheetViews>
  <sheetFormatPr defaultColWidth="12.54296875" defaultRowHeight="15" customHeight="1" x14ac:dyDescent="0.25"/>
  <cols>
    <col min="1" max="1" width="15.1796875" customWidth="1"/>
    <col min="2" max="2" width="106.26953125" customWidth="1"/>
    <col min="3" max="3" width="40.54296875" customWidth="1"/>
    <col min="4" max="4" width="26" customWidth="1"/>
    <col min="5" max="6" width="26.26953125" customWidth="1"/>
    <col min="7" max="7" width="21.1796875" customWidth="1"/>
    <col min="8" max="11" width="20.26953125" customWidth="1"/>
    <col min="12" max="12" width="20.81640625" customWidth="1"/>
    <col min="13" max="13" width="25.81640625" customWidth="1"/>
    <col min="14" max="14" width="39.81640625" customWidth="1"/>
    <col min="15" max="15" width="33.7265625" customWidth="1"/>
    <col min="16" max="16" width="32.26953125" customWidth="1"/>
    <col min="17" max="17" width="31.1796875" customWidth="1"/>
    <col min="18" max="18" width="32.81640625" customWidth="1"/>
    <col min="19" max="19" width="39.7265625" customWidth="1"/>
    <col min="20" max="20" width="47" customWidth="1"/>
    <col min="21" max="21" width="63.7265625" customWidth="1"/>
    <col min="22" max="22" width="61.1796875" customWidth="1"/>
    <col min="23" max="23" width="80.7265625" customWidth="1"/>
    <col min="24" max="41" width="14.26953125" customWidth="1"/>
  </cols>
  <sheetData>
    <row r="1" spans="1:41" ht="48" customHeight="1" x14ac:dyDescent="0.7">
      <c r="A1" s="213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5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59.25" customHeight="1" x14ac:dyDescent="0.7">
      <c r="A2" s="213" t="s">
        <v>0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5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02.75" customHeight="1" x14ac:dyDescent="0.7">
      <c r="A3" s="216" t="s">
        <v>95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5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41" customHeight="1" x14ac:dyDescent="0.85">
      <c r="A4" s="217" t="s">
        <v>96</v>
      </c>
      <c r="B4" s="217" t="s">
        <v>2</v>
      </c>
      <c r="C4" s="217" t="s">
        <v>3</v>
      </c>
      <c r="D4" s="217" t="s">
        <v>4</v>
      </c>
      <c r="E4" s="217" t="s">
        <v>5</v>
      </c>
      <c r="F4" s="217" t="s">
        <v>97</v>
      </c>
      <c r="G4" s="217" t="s">
        <v>7</v>
      </c>
      <c r="H4" s="210" t="s">
        <v>98</v>
      </c>
      <c r="I4" s="212"/>
      <c r="J4" s="212"/>
      <c r="K4" s="211"/>
      <c r="L4" s="217" t="s">
        <v>9</v>
      </c>
      <c r="M4" s="217" t="s">
        <v>99</v>
      </c>
      <c r="N4" s="210" t="s">
        <v>10</v>
      </c>
      <c r="O4" s="211"/>
      <c r="P4" s="210" t="s">
        <v>100</v>
      </c>
      <c r="Q4" s="212"/>
      <c r="R4" s="212"/>
      <c r="S4" s="212"/>
      <c r="T4" s="211"/>
      <c r="U4" s="200" t="s">
        <v>101</v>
      </c>
      <c r="V4" s="200" t="s">
        <v>11</v>
      </c>
      <c r="W4" s="200" t="s">
        <v>12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65.75" customHeight="1" x14ac:dyDescent="0.85">
      <c r="A5" s="173"/>
      <c r="B5" s="173"/>
      <c r="C5" s="173"/>
      <c r="D5" s="173"/>
      <c r="E5" s="173"/>
      <c r="F5" s="173"/>
      <c r="G5" s="173"/>
      <c r="H5" s="217" t="s">
        <v>13</v>
      </c>
      <c r="I5" s="217" t="s">
        <v>14</v>
      </c>
      <c r="J5" s="217" t="s">
        <v>15</v>
      </c>
      <c r="K5" s="217" t="s">
        <v>16</v>
      </c>
      <c r="L5" s="173"/>
      <c r="M5" s="173"/>
      <c r="N5" s="217" t="s">
        <v>17</v>
      </c>
      <c r="O5" s="217" t="s">
        <v>18</v>
      </c>
      <c r="P5" s="210" t="s">
        <v>102</v>
      </c>
      <c r="Q5" s="212"/>
      <c r="R5" s="211"/>
      <c r="S5" s="8" t="s">
        <v>103</v>
      </c>
      <c r="T5" s="8" t="s">
        <v>104</v>
      </c>
      <c r="U5" s="173"/>
      <c r="V5" s="173"/>
      <c r="W5" s="173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5.5" customHeight="1" x14ac:dyDescent="0.85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8" t="s">
        <v>19</v>
      </c>
      <c r="Q6" s="8" t="s">
        <v>20</v>
      </c>
      <c r="R6" s="8" t="s">
        <v>21</v>
      </c>
      <c r="S6" s="8"/>
      <c r="T6" s="8"/>
      <c r="U6" s="174"/>
      <c r="V6" s="174"/>
      <c r="W6" s="174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70.5" customHeight="1" x14ac:dyDescent="0.85">
      <c r="A7" s="218">
        <v>1</v>
      </c>
      <c r="B7" s="219" t="s">
        <v>22</v>
      </c>
      <c r="C7" s="172" t="s">
        <v>23</v>
      </c>
      <c r="D7" s="9" t="s">
        <v>105</v>
      </c>
      <c r="E7" s="9" t="s">
        <v>106</v>
      </c>
      <c r="F7" s="10">
        <v>3</v>
      </c>
      <c r="G7" s="10"/>
      <c r="H7" s="9"/>
      <c r="I7" s="9"/>
      <c r="J7" s="9"/>
      <c r="K7" s="9"/>
      <c r="L7" s="9">
        <f>SUM(F7:K7)</f>
        <v>3</v>
      </c>
      <c r="M7" s="178">
        <v>6</v>
      </c>
      <c r="N7" s="178" t="s">
        <v>24</v>
      </c>
      <c r="O7" s="9"/>
      <c r="P7" s="178">
        <v>0</v>
      </c>
      <c r="Q7" s="178">
        <v>0</v>
      </c>
      <c r="R7" s="177">
        <v>2</v>
      </c>
      <c r="S7" s="178" t="s">
        <v>25</v>
      </c>
      <c r="T7" s="178" t="s">
        <v>25</v>
      </c>
      <c r="U7" s="9" t="s">
        <v>26</v>
      </c>
      <c r="V7" s="172" t="s">
        <v>27</v>
      </c>
      <c r="W7" s="172" t="s">
        <v>28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70.5" customHeight="1" x14ac:dyDescent="0.85">
      <c r="A8" s="173"/>
      <c r="B8" s="173"/>
      <c r="C8" s="173"/>
      <c r="D8" s="9"/>
      <c r="E8" s="9"/>
      <c r="F8" s="9"/>
      <c r="G8" s="9"/>
      <c r="H8" s="10"/>
      <c r="I8" s="10"/>
      <c r="J8" s="10"/>
      <c r="K8" s="10"/>
      <c r="L8" s="9"/>
      <c r="M8" s="173"/>
      <c r="N8" s="173"/>
      <c r="O8" s="11"/>
      <c r="P8" s="173"/>
      <c r="Q8" s="173"/>
      <c r="R8" s="173"/>
      <c r="S8" s="173"/>
      <c r="T8" s="173"/>
      <c r="U8" s="11"/>
      <c r="V8" s="173"/>
      <c r="W8" s="173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ht="70.5" customHeight="1" x14ac:dyDescent="0.85">
      <c r="A9" s="174"/>
      <c r="B9" s="174"/>
      <c r="C9" s="174"/>
      <c r="D9" s="12" t="s">
        <v>29</v>
      </c>
      <c r="E9" s="12" t="s">
        <v>107</v>
      </c>
      <c r="F9" s="12"/>
      <c r="G9" s="12">
        <v>3</v>
      </c>
      <c r="H9" s="13"/>
      <c r="I9" s="13"/>
      <c r="J9" s="13"/>
      <c r="K9" s="13"/>
      <c r="L9" s="13">
        <f t="shared" ref="L9:L54" si="0">SUM(F9:K9)</f>
        <v>3</v>
      </c>
      <c r="M9" s="174"/>
      <c r="N9" s="174"/>
      <c r="O9" s="11"/>
      <c r="P9" s="174"/>
      <c r="Q9" s="174"/>
      <c r="R9" s="174"/>
      <c r="S9" s="174"/>
      <c r="T9" s="174"/>
      <c r="U9" s="11"/>
      <c r="V9" s="174"/>
      <c r="W9" s="174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ht="70.5" customHeight="1" x14ac:dyDescent="0.85">
      <c r="A10" s="186">
        <v>2</v>
      </c>
      <c r="B10" s="187" t="s">
        <v>30</v>
      </c>
      <c r="C10" s="181" t="s">
        <v>23</v>
      </c>
      <c r="D10" s="12" t="s">
        <v>29</v>
      </c>
      <c r="E10" s="12" t="s">
        <v>107</v>
      </c>
      <c r="F10" s="12"/>
      <c r="G10" s="12">
        <v>3</v>
      </c>
      <c r="H10" s="13"/>
      <c r="I10" s="13"/>
      <c r="J10" s="13"/>
      <c r="K10" s="13"/>
      <c r="L10" s="13">
        <f t="shared" si="0"/>
        <v>3</v>
      </c>
      <c r="M10" s="177">
        <v>6</v>
      </c>
      <c r="N10" s="178" t="s">
        <v>24</v>
      </c>
      <c r="O10" s="10"/>
      <c r="P10" s="10">
        <v>0</v>
      </c>
      <c r="Q10" s="10">
        <v>0</v>
      </c>
      <c r="R10" s="10"/>
      <c r="S10" s="10">
        <v>1</v>
      </c>
      <c r="T10" s="10" t="s">
        <v>25</v>
      </c>
      <c r="U10" s="9" t="s">
        <v>26</v>
      </c>
      <c r="V10" s="172" t="s">
        <v>32</v>
      </c>
      <c r="W10" s="172" t="s">
        <v>33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39.5" customHeight="1" x14ac:dyDescent="0.85">
      <c r="A11" s="174"/>
      <c r="B11" s="174"/>
      <c r="C11" s="174"/>
      <c r="D11" s="14" t="s">
        <v>51</v>
      </c>
      <c r="E11" s="14" t="s">
        <v>108</v>
      </c>
      <c r="F11" s="9">
        <v>3</v>
      </c>
      <c r="G11" s="10"/>
      <c r="H11" s="10"/>
      <c r="I11" s="10"/>
      <c r="J11" s="10"/>
      <c r="K11" s="10"/>
      <c r="L11" s="9">
        <f t="shared" si="0"/>
        <v>3</v>
      </c>
      <c r="M11" s="174"/>
      <c r="N11" s="174"/>
      <c r="O11" s="11"/>
      <c r="P11" s="15"/>
      <c r="Q11" s="15"/>
      <c r="R11" s="15">
        <v>0</v>
      </c>
      <c r="S11" s="15"/>
      <c r="T11" s="15"/>
      <c r="U11" s="11"/>
      <c r="V11" s="174"/>
      <c r="W11" s="174"/>
      <c r="X11" s="2"/>
      <c r="Y11" s="3"/>
      <c r="Z11" s="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70.5" customHeight="1" x14ac:dyDescent="0.85">
      <c r="A12" s="186">
        <v>3</v>
      </c>
      <c r="B12" s="187" t="s">
        <v>37</v>
      </c>
      <c r="C12" s="181" t="s">
        <v>38</v>
      </c>
      <c r="D12" s="9" t="s">
        <v>34</v>
      </c>
      <c r="E12" s="9" t="s">
        <v>109</v>
      </c>
      <c r="F12" s="9">
        <v>3</v>
      </c>
      <c r="G12" s="9"/>
      <c r="H12" s="9"/>
      <c r="I12" s="9"/>
      <c r="J12" s="9"/>
      <c r="K12" s="9"/>
      <c r="L12" s="9">
        <f t="shared" si="0"/>
        <v>3</v>
      </c>
      <c r="M12" s="178">
        <v>6</v>
      </c>
      <c r="N12" s="178" t="s">
        <v>24</v>
      </c>
      <c r="O12" s="9"/>
      <c r="P12" s="9">
        <v>0</v>
      </c>
      <c r="Q12" s="9"/>
      <c r="R12" s="9">
        <v>0</v>
      </c>
      <c r="S12" s="10" t="s">
        <v>25</v>
      </c>
      <c r="T12" s="9" t="s">
        <v>25</v>
      </c>
      <c r="U12" s="9" t="s">
        <v>39</v>
      </c>
      <c r="V12" s="178"/>
      <c r="W12" s="172" t="s">
        <v>40</v>
      </c>
      <c r="X12" s="2"/>
      <c r="Y12" s="3"/>
      <c r="Z12" s="3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77" customHeight="1" x14ac:dyDescent="0.85">
      <c r="A13" s="174"/>
      <c r="B13" s="174"/>
      <c r="C13" s="174"/>
      <c r="D13" s="9" t="s">
        <v>43</v>
      </c>
      <c r="E13" s="9" t="s">
        <v>109</v>
      </c>
      <c r="F13" s="9">
        <v>3</v>
      </c>
      <c r="G13" s="9"/>
      <c r="H13" s="9"/>
      <c r="I13" s="9"/>
      <c r="J13" s="9"/>
      <c r="K13" s="9"/>
      <c r="L13" s="9">
        <f t="shared" si="0"/>
        <v>3</v>
      </c>
      <c r="M13" s="174"/>
      <c r="N13" s="174"/>
      <c r="O13" s="11"/>
      <c r="P13" s="15"/>
      <c r="Q13" s="15">
        <v>0</v>
      </c>
      <c r="R13" s="15"/>
      <c r="S13" s="15"/>
      <c r="T13" s="15"/>
      <c r="U13" s="11"/>
      <c r="V13" s="174"/>
      <c r="W13" s="17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70.5" customHeight="1" x14ac:dyDescent="0.85">
      <c r="A14" s="186">
        <v>4</v>
      </c>
      <c r="B14" s="187" t="s">
        <v>41</v>
      </c>
      <c r="C14" s="181" t="s">
        <v>42</v>
      </c>
      <c r="D14" s="9" t="s">
        <v>64</v>
      </c>
      <c r="E14" s="9" t="s">
        <v>110</v>
      </c>
      <c r="F14" s="9">
        <v>3</v>
      </c>
      <c r="G14" s="9"/>
      <c r="H14" s="9">
        <v>2</v>
      </c>
      <c r="I14" s="9">
        <v>2</v>
      </c>
      <c r="J14" s="9">
        <v>2</v>
      </c>
      <c r="K14" s="9"/>
      <c r="L14" s="9">
        <f t="shared" si="0"/>
        <v>9</v>
      </c>
      <c r="M14" s="178">
        <f>SUM(L14:L17)</f>
        <v>13</v>
      </c>
      <c r="N14" s="178" t="s">
        <v>24</v>
      </c>
      <c r="O14" s="9"/>
      <c r="P14" s="9">
        <v>0</v>
      </c>
      <c r="Q14" s="9">
        <v>8</v>
      </c>
      <c r="R14" s="177">
        <v>2</v>
      </c>
      <c r="S14" s="10" t="s">
        <v>25</v>
      </c>
      <c r="T14" s="9" t="s">
        <v>25</v>
      </c>
      <c r="U14" s="9" t="s">
        <v>39</v>
      </c>
      <c r="V14" s="172" t="s">
        <v>44</v>
      </c>
      <c r="W14" s="201" t="s">
        <v>45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70.5" customHeight="1" x14ac:dyDescent="0.85">
      <c r="A15" s="173"/>
      <c r="B15" s="173"/>
      <c r="C15" s="173"/>
      <c r="D15" s="9" t="s">
        <v>46</v>
      </c>
      <c r="E15" s="10" t="s">
        <v>110</v>
      </c>
      <c r="F15" s="10">
        <v>3</v>
      </c>
      <c r="G15" s="9"/>
      <c r="H15" s="9"/>
      <c r="I15" s="9"/>
      <c r="J15" s="9"/>
      <c r="K15" s="9"/>
      <c r="L15" s="9">
        <f t="shared" si="0"/>
        <v>3</v>
      </c>
      <c r="M15" s="173"/>
      <c r="N15" s="173"/>
      <c r="O15" s="11"/>
      <c r="P15" s="15"/>
      <c r="Q15" s="15"/>
      <c r="R15" s="173"/>
      <c r="S15" s="15"/>
      <c r="T15" s="15"/>
      <c r="U15" s="11"/>
      <c r="V15" s="173"/>
      <c r="W15" s="17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70.5" customHeight="1" x14ac:dyDescent="0.85">
      <c r="A16" s="173"/>
      <c r="B16" s="173"/>
      <c r="C16" s="173"/>
      <c r="D16" s="16"/>
      <c r="E16" s="16"/>
      <c r="F16" s="16"/>
      <c r="G16" s="16"/>
      <c r="H16" s="9"/>
      <c r="I16" s="9"/>
      <c r="J16" s="9"/>
      <c r="K16" s="9"/>
      <c r="L16" s="9">
        <f t="shared" si="0"/>
        <v>0</v>
      </c>
      <c r="M16" s="173"/>
      <c r="N16" s="173"/>
      <c r="O16" s="11"/>
      <c r="P16" s="15"/>
      <c r="Q16" s="15"/>
      <c r="R16" s="173"/>
      <c r="S16" s="15"/>
      <c r="T16" s="15"/>
      <c r="U16" s="11"/>
      <c r="V16" s="173"/>
      <c r="W16" s="173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70.5" customHeight="1" x14ac:dyDescent="0.85">
      <c r="A17" s="174"/>
      <c r="B17" s="174"/>
      <c r="C17" s="174"/>
      <c r="D17" s="12" t="s">
        <v>29</v>
      </c>
      <c r="E17" s="12" t="s">
        <v>107</v>
      </c>
      <c r="F17" s="12"/>
      <c r="G17" s="12">
        <v>1</v>
      </c>
      <c r="H17" s="13"/>
      <c r="I17" s="13"/>
      <c r="J17" s="13"/>
      <c r="K17" s="13"/>
      <c r="L17" s="13">
        <f t="shared" si="0"/>
        <v>1</v>
      </c>
      <c r="M17" s="174"/>
      <c r="N17" s="174"/>
      <c r="O17" s="11"/>
      <c r="P17" s="15"/>
      <c r="Q17" s="15"/>
      <c r="R17" s="174"/>
      <c r="S17" s="15"/>
      <c r="T17" s="15"/>
      <c r="U17" s="11"/>
      <c r="V17" s="174"/>
      <c r="W17" s="174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ht="70.5" customHeight="1" x14ac:dyDescent="0.85">
      <c r="A18" s="186">
        <v>5</v>
      </c>
      <c r="B18" s="187" t="s">
        <v>111</v>
      </c>
      <c r="C18" s="181" t="s">
        <v>42</v>
      </c>
      <c r="D18" s="9" t="s">
        <v>64</v>
      </c>
      <c r="E18" s="10" t="s">
        <v>109</v>
      </c>
      <c r="F18" s="10">
        <v>3</v>
      </c>
      <c r="G18" s="9"/>
      <c r="H18" s="9">
        <v>2</v>
      </c>
      <c r="I18" s="9">
        <v>2</v>
      </c>
      <c r="J18" s="9">
        <v>2</v>
      </c>
      <c r="K18" s="9"/>
      <c r="L18" s="9">
        <f t="shared" si="0"/>
        <v>9</v>
      </c>
      <c r="M18" s="178">
        <f>SUM(L18:L21)</f>
        <v>16</v>
      </c>
      <c r="N18" s="178" t="s">
        <v>24</v>
      </c>
      <c r="O18" s="9"/>
      <c r="P18" s="9">
        <v>8</v>
      </c>
      <c r="Q18" s="9"/>
      <c r="R18" s="9">
        <v>4</v>
      </c>
      <c r="S18" s="9" t="s">
        <v>25</v>
      </c>
      <c r="T18" s="9" t="s">
        <v>25</v>
      </c>
      <c r="U18" s="9" t="s">
        <v>39</v>
      </c>
      <c r="V18" s="172" t="s">
        <v>112</v>
      </c>
      <c r="W18" s="172" t="s">
        <v>47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ht="70.5" customHeight="1" x14ac:dyDescent="0.85">
      <c r="A19" s="173"/>
      <c r="B19" s="173"/>
      <c r="C19" s="173"/>
      <c r="D19" s="9" t="s">
        <v>46</v>
      </c>
      <c r="E19" s="9" t="s">
        <v>109</v>
      </c>
      <c r="F19" s="11"/>
      <c r="G19" s="17"/>
      <c r="H19" s="9"/>
      <c r="I19" s="9"/>
      <c r="J19" s="18"/>
      <c r="K19" s="9">
        <v>2</v>
      </c>
      <c r="L19" s="9">
        <f t="shared" si="0"/>
        <v>2</v>
      </c>
      <c r="M19" s="173"/>
      <c r="N19" s="173"/>
      <c r="O19" s="11"/>
      <c r="P19" s="15"/>
      <c r="Q19" s="15"/>
      <c r="R19" s="10"/>
      <c r="S19" s="15"/>
      <c r="T19" s="15"/>
      <c r="U19" s="11"/>
      <c r="V19" s="173"/>
      <c r="W19" s="173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ht="70.5" customHeight="1" x14ac:dyDescent="0.85">
      <c r="A20" s="173"/>
      <c r="B20" s="173"/>
      <c r="C20" s="173"/>
      <c r="D20" s="17" t="s">
        <v>59</v>
      </c>
      <c r="E20" s="17" t="s">
        <v>36</v>
      </c>
      <c r="F20" s="11"/>
      <c r="G20" s="17">
        <v>2</v>
      </c>
      <c r="H20" s="9"/>
      <c r="I20" s="9"/>
      <c r="J20" s="9"/>
      <c r="K20" s="9"/>
      <c r="L20" s="9">
        <f t="shared" si="0"/>
        <v>2</v>
      </c>
      <c r="M20" s="173"/>
      <c r="N20" s="173"/>
      <c r="O20" s="11"/>
      <c r="P20" s="15"/>
      <c r="Q20" s="15"/>
      <c r="R20" s="10"/>
      <c r="S20" s="15"/>
      <c r="T20" s="15"/>
      <c r="U20" s="11"/>
      <c r="V20" s="173"/>
      <c r="W20" s="17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ht="70.5" customHeight="1" x14ac:dyDescent="0.85">
      <c r="A21" s="174"/>
      <c r="B21" s="174"/>
      <c r="C21" s="174"/>
      <c r="D21" s="12" t="s">
        <v>29</v>
      </c>
      <c r="E21" s="12" t="s">
        <v>107</v>
      </c>
      <c r="F21" s="12"/>
      <c r="G21" s="12">
        <v>3</v>
      </c>
      <c r="H21" s="13"/>
      <c r="I21" s="13"/>
      <c r="J21" s="13"/>
      <c r="K21" s="13"/>
      <c r="L21" s="13">
        <f t="shared" si="0"/>
        <v>3</v>
      </c>
      <c r="M21" s="174"/>
      <c r="N21" s="174"/>
      <c r="O21" s="11"/>
      <c r="P21" s="15"/>
      <c r="Q21" s="15"/>
      <c r="R21" s="10"/>
      <c r="S21" s="15"/>
      <c r="T21" s="15"/>
      <c r="U21" s="11"/>
      <c r="V21" s="174"/>
      <c r="W21" s="174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ht="70.5" customHeight="1" x14ac:dyDescent="0.85">
      <c r="A22" s="186">
        <v>6</v>
      </c>
      <c r="B22" s="187" t="s">
        <v>48</v>
      </c>
      <c r="C22" s="181" t="s">
        <v>42</v>
      </c>
      <c r="D22" s="9" t="s">
        <v>64</v>
      </c>
      <c r="E22" s="9" t="s">
        <v>113</v>
      </c>
      <c r="F22" s="9">
        <v>3</v>
      </c>
      <c r="G22" s="9"/>
      <c r="H22" s="9">
        <v>2</v>
      </c>
      <c r="I22" s="9">
        <v>2</v>
      </c>
      <c r="J22" s="9">
        <v>2</v>
      </c>
      <c r="K22" s="9"/>
      <c r="L22" s="9">
        <f t="shared" si="0"/>
        <v>9</v>
      </c>
      <c r="M22" s="178">
        <f>SUM(L22:L25)</f>
        <v>16</v>
      </c>
      <c r="N22" s="178" t="s">
        <v>24</v>
      </c>
      <c r="O22" s="9"/>
      <c r="P22" s="15">
        <v>8</v>
      </c>
      <c r="Q22" s="15">
        <v>0</v>
      </c>
      <c r="R22" s="9"/>
      <c r="S22" s="9" t="s">
        <v>25</v>
      </c>
      <c r="T22" s="9" t="s">
        <v>25</v>
      </c>
      <c r="U22" s="9" t="s">
        <v>39</v>
      </c>
      <c r="V22" s="172" t="s">
        <v>49</v>
      </c>
      <c r="W22" s="172" t="s">
        <v>50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70.5" customHeight="1" x14ac:dyDescent="0.85">
      <c r="A23" s="173"/>
      <c r="B23" s="173"/>
      <c r="C23" s="173"/>
      <c r="D23" s="9" t="s">
        <v>59</v>
      </c>
      <c r="E23" s="9" t="s">
        <v>113</v>
      </c>
      <c r="F23" s="9">
        <v>3</v>
      </c>
      <c r="G23" s="9"/>
      <c r="H23" s="9"/>
      <c r="I23" s="9"/>
      <c r="J23" s="9"/>
      <c r="K23" s="9"/>
      <c r="L23" s="9">
        <f t="shared" si="0"/>
        <v>3</v>
      </c>
      <c r="M23" s="173"/>
      <c r="N23" s="173"/>
      <c r="O23" s="11"/>
      <c r="P23" s="19"/>
      <c r="Q23" s="19"/>
      <c r="R23" s="15"/>
      <c r="S23" s="15"/>
      <c r="T23" s="15"/>
      <c r="U23" s="20" t="s">
        <v>94</v>
      </c>
      <c r="V23" s="173"/>
      <c r="W23" s="173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70.5" customHeight="1" x14ac:dyDescent="0.85">
      <c r="A24" s="173"/>
      <c r="B24" s="173"/>
      <c r="C24" s="173"/>
      <c r="D24" s="16" t="s">
        <v>46</v>
      </c>
      <c r="E24" s="16" t="s">
        <v>36</v>
      </c>
      <c r="F24" s="16"/>
      <c r="G24" s="16">
        <v>2</v>
      </c>
      <c r="H24" s="9"/>
      <c r="I24" s="9"/>
      <c r="J24" s="9"/>
      <c r="K24" s="9"/>
      <c r="L24" s="9">
        <f t="shared" si="0"/>
        <v>2</v>
      </c>
      <c r="M24" s="173"/>
      <c r="N24" s="173"/>
      <c r="O24" s="11"/>
      <c r="P24" s="19"/>
      <c r="Q24" s="19"/>
      <c r="R24" s="15"/>
      <c r="S24" s="15"/>
      <c r="T24" s="15"/>
      <c r="U24" s="20"/>
      <c r="V24" s="173"/>
      <c r="W24" s="173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ht="70.5" customHeight="1" x14ac:dyDescent="0.85">
      <c r="A25" s="174"/>
      <c r="B25" s="174"/>
      <c r="C25" s="174"/>
      <c r="D25" s="12" t="s">
        <v>29</v>
      </c>
      <c r="E25" s="12" t="s">
        <v>107</v>
      </c>
      <c r="F25" s="12"/>
      <c r="G25" s="12">
        <v>2</v>
      </c>
      <c r="H25" s="13"/>
      <c r="I25" s="13"/>
      <c r="J25" s="13"/>
      <c r="K25" s="13"/>
      <c r="L25" s="13">
        <f t="shared" si="0"/>
        <v>2</v>
      </c>
      <c r="M25" s="174"/>
      <c r="N25" s="174"/>
      <c r="O25" s="11"/>
      <c r="P25" s="15"/>
      <c r="Q25" s="15"/>
      <c r="R25" s="15"/>
      <c r="S25" s="15"/>
      <c r="T25" s="15"/>
      <c r="U25" s="11"/>
      <c r="V25" s="174"/>
      <c r="W25" s="174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ht="70.5" customHeight="1" x14ac:dyDescent="0.85">
      <c r="A26" s="186">
        <v>7</v>
      </c>
      <c r="B26" s="199" t="s">
        <v>114</v>
      </c>
      <c r="C26" s="181" t="s">
        <v>42</v>
      </c>
      <c r="D26" s="9" t="s">
        <v>58</v>
      </c>
      <c r="E26" s="9" t="s">
        <v>106</v>
      </c>
      <c r="F26" s="9">
        <v>3</v>
      </c>
      <c r="G26" s="9"/>
      <c r="H26" s="9">
        <v>2</v>
      </c>
      <c r="I26" s="9"/>
      <c r="J26" s="9">
        <v>2</v>
      </c>
      <c r="K26" s="9">
        <v>2</v>
      </c>
      <c r="L26" s="9">
        <f t="shared" si="0"/>
        <v>9</v>
      </c>
      <c r="M26" s="178">
        <f>SUM(L26:L29)</f>
        <v>15</v>
      </c>
      <c r="N26" s="178" t="s">
        <v>24</v>
      </c>
      <c r="O26" s="9"/>
      <c r="P26" s="15">
        <v>8</v>
      </c>
      <c r="Q26" s="15">
        <v>0</v>
      </c>
      <c r="R26" s="9"/>
      <c r="S26" s="9" t="s">
        <v>25</v>
      </c>
      <c r="T26" s="9" t="s">
        <v>25</v>
      </c>
      <c r="U26" s="9" t="s">
        <v>39</v>
      </c>
      <c r="V26" s="172" t="s">
        <v>115</v>
      </c>
      <c r="W26" s="172" t="s">
        <v>116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ht="70.5" customHeight="1" x14ac:dyDescent="0.85">
      <c r="A27" s="173"/>
      <c r="B27" s="173"/>
      <c r="C27" s="173"/>
      <c r="D27" s="9" t="s">
        <v>117</v>
      </c>
      <c r="E27" s="9" t="s">
        <v>106</v>
      </c>
      <c r="F27" s="9"/>
      <c r="G27" s="9"/>
      <c r="H27" s="9"/>
      <c r="I27" s="21"/>
      <c r="J27" s="9">
        <v>2</v>
      </c>
      <c r="K27" s="9"/>
      <c r="L27" s="9">
        <f t="shared" si="0"/>
        <v>2</v>
      </c>
      <c r="M27" s="173"/>
      <c r="N27" s="173"/>
      <c r="O27" s="11"/>
      <c r="P27" s="15"/>
      <c r="Q27" s="15"/>
      <c r="R27" s="10"/>
      <c r="S27" s="15"/>
      <c r="T27" s="15"/>
      <c r="U27" s="11"/>
      <c r="V27" s="173"/>
      <c r="W27" s="173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70.5" customHeight="1" x14ac:dyDescent="0.85">
      <c r="A28" s="173"/>
      <c r="B28" s="173"/>
      <c r="C28" s="173"/>
      <c r="D28" s="9" t="s">
        <v>64</v>
      </c>
      <c r="E28" s="9" t="s">
        <v>36</v>
      </c>
      <c r="F28" s="9"/>
      <c r="G28" s="9">
        <v>2</v>
      </c>
      <c r="H28" s="9"/>
      <c r="I28" s="9"/>
      <c r="J28" s="9"/>
      <c r="K28" s="9"/>
      <c r="L28" s="9">
        <f t="shared" si="0"/>
        <v>2</v>
      </c>
      <c r="M28" s="173"/>
      <c r="N28" s="173"/>
      <c r="O28" s="11"/>
      <c r="P28" s="2"/>
      <c r="Q28" s="2"/>
      <c r="R28" s="177">
        <v>2</v>
      </c>
      <c r="S28" s="15"/>
      <c r="T28" s="15"/>
      <c r="U28" s="11"/>
      <c r="V28" s="173"/>
      <c r="W28" s="173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70.5" customHeight="1" x14ac:dyDescent="0.85">
      <c r="A29" s="174"/>
      <c r="B29" s="174"/>
      <c r="C29" s="174"/>
      <c r="D29" s="12" t="s">
        <v>29</v>
      </c>
      <c r="E29" s="12" t="s">
        <v>107</v>
      </c>
      <c r="F29" s="12"/>
      <c r="G29" s="12">
        <v>2</v>
      </c>
      <c r="H29" s="13"/>
      <c r="I29" s="13"/>
      <c r="J29" s="13"/>
      <c r="K29" s="13"/>
      <c r="L29" s="13">
        <f t="shared" si="0"/>
        <v>2</v>
      </c>
      <c r="M29" s="174"/>
      <c r="N29" s="174"/>
      <c r="O29" s="11"/>
      <c r="P29" s="15"/>
      <c r="Q29" s="15"/>
      <c r="R29" s="174"/>
      <c r="S29" s="15"/>
      <c r="T29" s="15"/>
      <c r="U29" s="11"/>
      <c r="V29" s="174"/>
      <c r="W29" s="174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ht="70.5" customHeight="1" x14ac:dyDescent="0.85">
      <c r="A30" s="182">
        <v>8</v>
      </c>
      <c r="B30" s="199" t="s">
        <v>118</v>
      </c>
      <c r="C30" s="181" t="s">
        <v>42</v>
      </c>
      <c r="D30" s="22" t="s">
        <v>35</v>
      </c>
      <c r="E30" s="23" t="s">
        <v>119</v>
      </c>
      <c r="F30" s="22">
        <v>3</v>
      </c>
      <c r="G30" s="22"/>
      <c r="H30" s="22">
        <v>2</v>
      </c>
      <c r="I30" s="22">
        <v>2</v>
      </c>
      <c r="J30" s="22">
        <v>2</v>
      </c>
      <c r="K30" s="22">
        <v>2</v>
      </c>
      <c r="L30" s="22">
        <f t="shared" si="0"/>
        <v>11</v>
      </c>
      <c r="M30" s="178">
        <f>SUM(L30:L33)</f>
        <v>15</v>
      </c>
      <c r="N30" s="178" t="s">
        <v>24</v>
      </c>
      <c r="O30" s="9"/>
      <c r="P30" s="15">
        <v>0</v>
      </c>
      <c r="Q30" s="15">
        <v>8</v>
      </c>
      <c r="R30" s="9"/>
      <c r="S30" s="9" t="s">
        <v>25</v>
      </c>
      <c r="T30" s="9" t="s">
        <v>25</v>
      </c>
      <c r="U30" s="9" t="s">
        <v>39</v>
      </c>
      <c r="V30" s="172" t="s">
        <v>52</v>
      </c>
      <c r="W30" s="172" t="s">
        <v>53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ht="70.5" customHeight="1" x14ac:dyDescent="0.85">
      <c r="A31" s="173"/>
      <c r="B31" s="173"/>
      <c r="C31" s="173"/>
      <c r="D31" s="24"/>
      <c r="E31" s="24"/>
      <c r="F31" s="24"/>
      <c r="G31" s="24"/>
      <c r="H31" s="24"/>
      <c r="I31" s="24"/>
      <c r="J31" s="24"/>
      <c r="K31" s="24"/>
      <c r="L31" s="9">
        <f t="shared" si="0"/>
        <v>0</v>
      </c>
      <c r="M31" s="173"/>
      <c r="N31" s="173"/>
      <c r="O31" s="11"/>
      <c r="P31" s="15"/>
      <c r="Q31" s="15"/>
      <c r="R31" s="10"/>
      <c r="S31" s="15"/>
      <c r="T31" s="15"/>
      <c r="U31" s="11"/>
      <c r="V31" s="173"/>
      <c r="W31" s="173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ht="70.5" customHeight="1" x14ac:dyDescent="0.85">
      <c r="A32" s="173"/>
      <c r="B32" s="173"/>
      <c r="C32" s="173"/>
      <c r="D32" s="25" t="s">
        <v>51</v>
      </c>
      <c r="E32" s="25" t="s">
        <v>36</v>
      </c>
      <c r="F32" s="25"/>
      <c r="G32" s="25">
        <v>2</v>
      </c>
      <c r="H32" s="25"/>
      <c r="I32" s="25"/>
      <c r="J32" s="25"/>
      <c r="K32" s="25"/>
      <c r="L32" s="25">
        <f t="shared" si="0"/>
        <v>2</v>
      </c>
      <c r="M32" s="173"/>
      <c r="N32" s="173"/>
      <c r="O32" s="11"/>
      <c r="P32" s="19"/>
      <c r="Q32" s="19"/>
      <c r="R32" s="177">
        <v>2</v>
      </c>
      <c r="S32" s="15"/>
      <c r="T32" s="15"/>
      <c r="U32" s="11"/>
      <c r="V32" s="173"/>
      <c r="W32" s="173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70.5" customHeight="1" x14ac:dyDescent="0.85">
      <c r="A33" s="174"/>
      <c r="B33" s="174"/>
      <c r="C33" s="174"/>
      <c r="D33" s="12" t="s">
        <v>29</v>
      </c>
      <c r="E33" s="12" t="s">
        <v>107</v>
      </c>
      <c r="F33" s="12"/>
      <c r="G33" s="12">
        <v>2</v>
      </c>
      <c r="H33" s="13"/>
      <c r="I33" s="13"/>
      <c r="J33" s="13"/>
      <c r="K33" s="13"/>
      <c r="L33" s="13">
        <f t="shared" si="0"/>
        <v>2</v>
      </c>
      <c r="M33" s="174"/>
      <c r="N33" s="174"/>
      <c r="O33" s="11"/>
      <c r="P33" s="15"/>
      <c r="Q33" s="15"/>
      <c r="R33" s="174"/>
      <c r="S33" s="15"/>
      <c r="T33" s="15"/>
      <c r="U33" s="11"/>
      <c r="V33" s="174"/>
      <c r="W33" s="174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70.5" customHeight="1" x14ac:dyDescent="0.85">
      <c r="A34" s="186">
        <v>9</v>
      </c>
      <c r="B34" s="187" t="s">
        <v>55</v>
      </c>
      <c r="C34" s="181" t="s">
        <v>56</v>
      </c>
      <c r="D34" s="9" t="s">
        <v>51</v>
      </c>
      <c r="E34" s="9" t="s">
        <v>119</v>
      </c>
      <c r="F34" s="9">
        <v>3</v>
      </c>
      <c r="G34" s="9"/>
      <c r="H34" s="9">
        <v>2</v>
      </c>
      <c r="I34" s="9">
        <v>2</v>
      </c>
      <c r="J34" s="9">
        <v>2</v>
      </c>
      <c r="K34" s="9">
        <v>2</v>
      </c>
      <c r="L34" s="9">
        <f t="shared" si="0"/>
        <v>11</v>
      </c>
      <c r="M34" s="178">
        <f>SUM(L34:L37)</f>
        <v>20</v>
      </c>
      <c r="N34" s="178" t="s">
        <v>24</v>
      </c>
      <c r="O34" s="9"/>
      <c r="P34" s="9">
        <v>8</v>
      </c>
      <c r="Q34" s="9">
        <v>0</v>
      </c>
      <c r="R34" s="9"/>
      <c r="S34" s="9" t="s">
        <v>25</v>
      </c>
      <c r="T34" s="9" t="s">
        <v>25</v>
      </c>
      <c r="U34" s="9" t="s">
        <v>39</v>
      </c>
      <c r="V34" s="172" t="s">
        <v>120</v>
      </c>
      <c r="W34" s="172" t="s">
        <v>57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70.5" customHeight="1" x14ac:dyDescent="0.85">
      <c r="A35" s="173"/>
      <c r="B35" s="173"/>
      <c r="C35" s="173"/>
      <c r="D35" s="9" t="s">
        <v>35</v>
      </c>
      <c r="E35" s="9" t="s">
        <v>121</v>
      </c>
      <c r="F35" s="9">
        <v>3</v>
      </c>
      <c r="G35" s="9"/>
      <c r="H35" s="9"/>
      <c r="I35" s="9"/>
      <c r="J35" s="9">
        <v>2</v>
      </c>
      <c r="K35" s="9"/>
      <c r="L35" s="9">
        <f t="shared" si="0"/>
        <v>5</v>
      </c>
      <c r="M35" s="173"/>
      <c r="N35" s="173"/>
      <c r="O35" s="11"/>
      <c r="P35" s="15"/>
      <c r="Q35" s="15"/>
      <c r="R35" s="15"/>
      <c r="S35" s="15"/>
      <c r="T35" s="15"/>
      <c r="U35" s="11"/>
      <c r="V35" s="173"/>
      <c r="W35" s="173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70.5" customHeight="1" x14ac:dyDescent="0.85">
      <c r="A36" s="173"/>
      <c r="B36" s="173"/>
      <c r="C36" s="173"/>
      <c r="D36" s="9" t="s">
        <v>46</v>
      </c>
      <c r="E36" s="9" t="s">
        <v>36</v>
      </c>
      <c r="F36" s="9"/>
      <c r="G36" s="9">
        <v>2</v>
      </c>
      <c r="H36" s="15"/>
      <c r="I36" s="26"/>
      <c r="J36" s="26"/>
      <c r="K36" s="9"/>
      <c r="L36" s="9">
        <f t="shared" si="0"/>
        <v>2</v>
      </c>
      <c r="M36" s="173"/>
      <c r="N36" s="173"/>
      <c r="O36" s="11"/>
      <c r="P36" s="15"/>
      <c r="Q36" s="15"/>
      <c r="R36" s="15"/>
      <c r="S36" s="15"/>
      <c r="T36" s="15"/>
      <c r="U36" s="11"/>
      <c r="V36" s="173"/>
      <c r="W36" s="173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70.5" customHeight="1" x14ac:dyDescent="0.85">
      <c r="A37" s="174"/>
      <c r="B37" s="174"/>
      <c r="C37" s="174"/>
      <c r="D37" s="12" t="s">
        <v>29</v>
      </c>
      <c r="E37" s="12" t="s">
        <v>107</v>
      </c>
      <c r="F37" s="12"/>
      <c r="G37" s="12">
        <v>2</v>
      </c>
      <c r="H37" s="13"/>
      <c r="I37" s="13"/>
      <c r="J37" s="13"/>
      <c r="K37" s="13"/>
      <c r="L37" s="13">
        <f t="shared" si="0"/>
        <v>2</v>
      </c>
      <c r="M37" s="174"/>
      <c r="N37" s="174"/>
      <c r="O37" s="11"/>
      <c r="P37" s="15"/>
      <c r="Q37" s="15"/>
      <c r="R37" s="15"/>
      <c r="S37" s="15"/>
      <c r="T37" s="15"/>
      <c r="U37" s="11"/>
      <c r="V37" s="174"/>
      <c r="W37" s="174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70.5" customHeight="1" x14ac:dyDescent="0.85">
      <c r="A38" s="186">
        <v>10</v>
      </c>
      <c r="B38" s="187" t="s">
        <v>60</v>
      </c>
      <c r="C38" s="181" t="s">
        <v>56</v>
      </c>
      <c r="D38" s="16" t="s">
        <v>117</v>
      </c>
      <c r="E38" s="16" t="s">
        <v>106</v>
      </c>
      <c r="F38" s="10">
        <v>3</v>
      </c>
      <c r="G38" s="20"/>
      <c r="H38" s="20"/>
      <c r="I38" s="20"/>
      <c r="J38" s="20"/>
      <c r="K38" s="20"/>
      <c r="L38" s="9">
        <f t="shared" si="0"/>
        <v>3</v>
      </c>
      <c r="M38" s="178">
        <f>SUM(L38:L42)</f>
        <v>22</v>
      </c>
      <c r="N38" s="178" t="s">
        <v>24</v>
      </c>
      <c r="O38" s="9"/>
      <c r="P38" s="9"/>
      <c r="Q38" s="9"/>
      <c r="R38" s="177">
        <v>4</v>
      </c>
      <c r="S38" s="9">
        <v>1</v>
      </c>
      <c r="T38" s="9" t="s">
        <v>25</v>
      </c>
      <c r="U38" s="9" t="s">
        <v>39</v>
      </c>
      <c r="V38" s="172" t="s">
        <v>122</v>
      </c>
      <c r="W38" s="172" t="s">
        <v>61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70.5" customHeight="1" x14ac:dyDescent="0.85">
      <c r="A39" s="173"/>
      <c r="B39" s="173"/>
      <c r="C39" s="173"/>
      <c r="D39" s="16" t="s">
        <v>117</v>
      </c>
      <c r="E39" s="16" t="s">
        <v>123</v>
      </c>
      <c r="F39" s="10"/>
      <c r="G39" s="20"/>
      <c r="H39" s="9"/>
      <c r="I39" s="9">
        <v>2</v>
      </c>
      <c r="J39" s="27">
        <v>2</v>
      </c>
      <c r="K39" s="9">
        <v>2</v>
      </c>
      <c r="L39" s="9">
        <f t="shared" si="0"/>
        <v>6</v>
      </c>
      <c r="M39" s="173"/>
      <c r="N39" s="173"/>
      <c r="O39" s="11"/>
      <c r="P39" s="15"/>
      <c r="Q39" s="15"/>
      <c r="R39" s="173"/>
      <c r="S39" s="15"/>
      <c r="T39" s="15"/>
      <c r="U39" s="11"/>
      <c r="V39" s="173"/>
      <c r="W39" s="173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70.5" customHeight="1" x14ac:dyDescent="0.85">
      <c r="A40" s="173"/>
      <c r="B40" s="173"/>
      <c r="C40" s="173"/>
      <c r="D40" s="16" t="s">
        <v>58</v>
      </c>
      <c r="E40" s="16" t="s">
        <v>123</v>
      </c>
      <c r="F40" s="10">
        <v>3</v>
      </c>
      <c r="G40" s="20"/>
      <c r="H40" s="27">
        <v>2</v>
      </c>
      <c r="I40" s="9"/>
      <c r="J40" s="9">
        <v>2</v>
      </c>
      <c r="K40" s="9"/>
      <c r="L40" s="9">
        <f t="shared" si="0"/>
        <v>7</v>
      </c>
      <c r="M40" s="173"/>
      <c r="N40" s="173"/>
      <c r="O40" s="11"/>
      <c r="P40" s="15">
        <v>0</v>
      </c>
      <c r="Q40" s="15">
        <v>8</v>
      </c>
      <c r="R40" s="173"/>
      <c r="S40" s="15"/>
      <c r="T40" s="15"/>
      <c r="U40" s="11"/>
      <c r="V40" s="173"/>
      <c r="W40" s="173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70.5" customHeight="1" x14ac:dyDescent="0.85">
      <c r="A41" s="173"/>
      <c r="B41" s="173"/>
      <c r="C41" s="173"/>
      <c r="D41" s="16" t="s">
        <v>35</v>
      </c>
      <c r="E41" s="16" t="s">
        <v>36</v>
      </c>
      <c r="F41" s="16"/>
      <c r="G41" s="16">
        <v>2</v>
      </c>
      <c r="H41" s="9"/>
      <c r="I41" s="9"/>
      <c r="J41" s="9"/>
      <c r="K41" s="9"/>
      <c r="L41" s="9">
        <f t="shared" si="0"/>
        <v>2</v>
      </c>
      <c r="M41" s="173"/>
      <c r="N41" s="173"/>
      <c r="O41" s="11"/>
      <c r="P41" s="15"/>
      <c r="Q41" s="15">
        <v>0</v>
      </c>
      <c r="R41" s="173"/>
      <c r="S41" s="15"/>
      <c r="T41" s="15"/>
      <c r="U41" s="11"/>
      <c r="V41" s="173"/>
      <c r="W41" s="173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70.5" customHeight="1" x14ac:dyDescent="0.85">
      <c r="A42" s="174"/>
      <c r="B42" s="174"/>
      <c r="C42" s="174"/>
      <c r="D42" s="12" t="s">
        <v>29</v>
      </c>
      <c r="E42" s="12" t="s">
        <v>107</v>
      </c>
      <c r="F42" s="12"/>
      <c r="G42" s="12">
        <v>4</v>
      </c>
      <c r="H42" s="13"/>
      <c r="I42" s="13"/>
      <c r="J42" s="13"/>
      <c r="K42" s="13"/>
      <c r="L42" s="13">
        <f t="shared" si="0"/>
        <v>4</v>
      </c>
      <c r="M42" s="174"/>
      <c r="N42" s="174"/>
      <c r="O42" s="11"/>
      <c r="P42" s="15"/>
      <c r="Q42" s="15"/>
      <c r="R42" s="174"/>
      <c r="S42" s="15"/>
      <c r="T42" s="15"/>
      <c r="U42" s="11"/>
      <c r="V42" s="174"/>
      <c r="W42" s="174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70.5" customHeight="1" x14ac:dyDescent="0.85">
      <c r="A43" s="186">
        <v>11</v>
      </c>
      <c r="B43" s="187" t="s">
        <v>62</v>
      </c>
      <c r="C43" s="181" t="s">
        <v>56</v>
      </c>
      <c r="D43" s="9" t="s">
        <v>64</v>
      </c>
      <c r="E43" s="9" t="s">
        <v>124</v>
      </c>
      <c r="F43" s="9">
        <v>3</v>
      </c>
      <c r="G43" s="9"/>
      <c r="H43" s="9">
        <v>2</v>
      </c>
      <c r="I43" s="9">
        <v>2</v>
      </c>
      <c r="J43" s="9"/>
      <c r="K43" s="9"/>
      <c r="L43" s="9">
        <f t="shared" si="0"/>
        <v>7</v>
      </c>
      <c r="M43" s="178">
        <f>SUM(L43:L47)</f>
        <v>21</v>
      </c>
      <c r="N43" s="178" t="s">
        <v>24</v>
      </c>
      <c r="O43" s="9"/>
      <c r="P43" s="9"/>
      <c r="Q43" s="9"/>
      <c r="R43" s="177">
        <v>4</v>
      </c>
      <c r="S43" s="9">
        <v>1</v>
      </c>
      <c r="T43" s="9" t="s">
        <v>25</v>
      </c>
      <c r="U43" s="9" t="s">
        <v>39</v>
      </c>
      <c r="V43" s="172" t="s">
        <v>125</v>
      </c>
      <c r="W43" s="172" t="s">
        <v>63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70.5" customHeight="1" x14ac:dyDescent="0.85">
      <c r="A44" s="173"/>
      <c r="B44" s="173"/>
      <c r="C44" s="173"/>
      <c r="D44" s="9" t="s">
        <v>59</v>
      </c>
      <c r="E44" s="9" t="s">
        <v>109</v>
      </c>
      <c r="F44" s="9"/>
      <c r="G44" s="9"/>
      <c r="H44" s="9"/>
      <c r="I44" s="9"/>
      <c r="J44" s="9"/>
      <c r="K44" s="9">
        <v>2</v>
      </c>
      <c r="L44" s="9">
        <f t="shared" si="0"/>
        <v>2</v>
      </c>
      <c r="M44" s="173"/>
      <c r="N44" s="173"/>
      <c r="O44" s="11"/>
      <c r="P44" s="15">
        <v>8</v>
      </c>
      <c r="Q44" s="15">
        <v>0</v>
      </c>
      <c r="R44" s="173"/>
      <c r="S44" s="15"/>
      <c r="T44" s="15"/>
      <c r="U44" s="11"/>
      <c r="V44" s="173"/>
      <c r="W44" s="173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70.5" customHeight="1" x14ac:dyDescent="0.85">
      <c r="A45" s="173"/>
      <c r="B45" s="173"/>
      <c r="C45" s="173"/>
      <c r="D45" s="9" t="s">
        <v>59</v>
      </c>
      <c r="E45" s="9" t="s">
        <v>124</v>
      </c>
      <c r="F45" s="9">
        <v>3</v>
      </c>
      <c r="G45" s="11"/>
      <c r="H45" s="11"/>
      <c r="I45" s="11"/>
      <c r="J45" s="9">
        <v>2</v>
      </c>
      <c r="K45" s="11"/>
      <c r="L45" s="9">
        <f t="shared" si="0"/>
        <v>5</v>
      </c>
      <c r="M45" s="173"/>
      <c r="N45" s="173"/>
      <c r="O45" s="11"/>
      <c r="P45" s="15"/>
      <c r="Q45" s="15"/>
      <c r="R45" s="173"/>
      <c r="S45" s="15"/>
      <c r="T45" s="15"/>
      <c r="U45" s="11"/>
      <c r="V45" s="173"/>
      <c r="W45" s="173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70.5" customHeight="1" x14ac:dyDescent="0.85">
      <c r="A46" s="173"/>
      <c r="B46" s="173"/>
      <c r="C46" s="173"/>
      <c r="D46" s="16" t="s">
        <v>59</v>
      </c>
      <c r="E46" s="16" t="s">
        <v>36</v>
      </c>
      <c r="F46" s="16"/>
      <c r="G46" s="9">
        <v>2</v>
      </c>
      <c r="H46" s="9"/>
      <c r="I46" s="9"/>
      <c r="J46" s="9"/>
      <c r="K46" s="9"/>
      <c r="L46" s="9">
        <f t="shared" si="0"/>
        <v>2</v>
      </c>
      <c r="M46" s="173"/>
      <c r="N46" s="173"/>
      <c r="O46" s="11"/>
      <c r="P46" s="15"/>
      <c r="Q46" s="15"/>
      <c r="R46" s="173"/>
      <c r="S46" s="15"/>
      <c r="T46" s="15"/>
      <c r="U46" s="11"/>
      <c r="V46" s="173"/>
      <c r="W46" s="17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70.5" customHeight="1" x14ac:dyDescent="0.85">
      <c r="A47" s="174"/>
      <c r="B47" s="174"/>
      <c r="C47" s="174"/>
      <c r="D47" s="12" t="s">
        <v>117</v>
      </c>
      <c r="E47" s="12" t="s">
        <v>107</v>
      </c>
      <c r="F47" s="12"/>
      <c r="G47" s="12">
        <v>5</v>
      </c>
      <c r="H47" s="13"/>
      <c r="I47" s="13"/>
      <c r="J47" s="13"/>
      <c r="K47" s="13"/>
      <c r="L47" s="13">
        <f t="shared" si="0"/>
        <v>5</v>
      </c>
      <c r="M47" s="174"/>
      <c r="N47" s="174"/>
      <c r="O47" s="11"/>
      <c r="P47" s="15"/>
      <c r="Q47" s="15"/>
      <c r="R47" s="174"/>
      <c r="S47" s="15"/>
      <c r="T47" s="15"/>
      <c r="U47" s="11"/>
      <c r="V47" s="174"/>
      <c r="W47" s="174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70.5" customHeight="1" x14ac:dyDescent="0.85">
      <c r="A48" s="198">
        <v>0</v>
      </c>
      <c r="B48" s="187" t="s">
        <v>126</v>
      </c>
      <c r="C48" s="181" t="s">
        <v>56</v>
      </c>
      <c r="D48" s="9"/>
      <c r="E48" s="9"/>
      <c r="F48" s="9"/>
      <c r="G48" s="9"/>
      <c r="H48" s="9"/>
      <c r="I48" s="9"/>
      <c r="J48" s="9"/>
      <c r="K48" s="9"/>
      <c r="L48" s="9">
        <f t="shared" si="0"/>
        <v>0</v>
      </c>
      <c r="M48" s="178"/>
      <c r="N48" s="28"/>
      <c r="O48" s="28"/>
      <c r="P48" s="28"/>
      <c r="Q48" s="28"/>
      <c r="R48" s="28"/>
      <c r="S48" s="9"/>
      <c r="T48" s="28"/>
      <c r="U48" s="9"/>
      <c r="V48" s="176" t="s">
        <v>65</v>
      </c>
      <c r="W48" s="176" t="s">
        <v>127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70.5" customHeight="1" x14ac:dyDescent="0.85">
      <c r="A49" s="173"/>
      <c r="B49" s="173"/>
      <c r="C49" s="173"/>
      <c r="D49" s="9"/>
      <c r="E49" s="9"/>
      <c r="F49" s="9"/>
      <c r="G49" s="9"/>
      <c r="H49" s="9"/>
      <c r="I49" s="9"/>
      <c r="J49" s="9"/>
      <c r="K49" s="9"/>
      <c r="L49" s="9">
        <f t="shared" si="0"/>
        <v>0</v>
      </c>
      <c r="M49" s="173"/>
      <c r="N49" s="29"/>
      <c r="O49" s="29"/>
      <c r="P49" s="30"/>
      <c r="Q49" s="30"/>
      <c r="R49" s="30"/>
      <c r="S49" s="30"/>
      <c r="T49" s="30"/>
      <c r="U49" s="29"/>
      <c r="V49" s="173"/>
      <c r="W49" s="173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70.5" customHeight="1" x14ac:dyDescent="0.85">
      <c r="A50" s="173"/>
      <c r="B50" s="173"/>
      <c r="C50" s="173"/>
      <c r="D50" s="9"/>
      <c r="E50" s="9"/>
      <c r="F50" s="9"/>
      <c r="G50" s="9"/>
      <c r="H50" s="9"/>
      <c r="I50" s="9"/>
      <c r="J50" s="9"/>
      <c r="K50" s="9"/>
      <c r="L50" s="9">
        <f t="shared" si="0"/>
        <v>0</v>
      </c>
      <c r="M50" s="173"/>
      <c r="N50" s="29"/>
      <c r="O50" s="29"/>
      <c r="P50" s="30"/>
      <c r="Q50" s="30"/>
      <c r="R50" s="30"/>
      <c r="S50" s="30"/>
      <c r="T50" s="30"/>
      <c r="U50" s="29"/>
      <c r="V50" s="173"/>
      <c r="W50" s="173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70.5" customHeight="1" x14ac:dyDescent="0.85">
      <c r="A51" s="173"/>
      <c r="B51" s="173"/>
      <c r="C51" s="173"/>
      <c r="D51" s="9"/>
      <c r="E51" s="10"/>
      <c r="F51" s="10"/>
      <c r="G51" s="9"/>
      <c r="H51" s="9"/>
      <c r="I51" s="9"/>
      <c r="J51" s="9"/>
      <c r="K51" s="9"/>
      <c r="L51" s="9">
        <f t="shared" si="0"/>
        <v>0</v>
      </c>
      <c r="M51" s="173"/>
      <c r="N51" s="29"/>
      <c r="O51" s="29"/>
      <c r="P51" s="30"/>
      <c r="Q51" s="30"/>
      <c r="R51" s="30"/>
      <c r="S51" s="30"/>
      <c r="T51" s="30"/>
      <c r="U51" s="29"/>
      <c r="V51" s="173"/>
      <c r="W51" s="173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70.5" customHeight="1" x14ac:dyDescent="0.85">
      <c r="A52" s="174"/>
      <c r="B52" s="174"/>
      <c r="C52" s="174"/>
      <c r="D52" s="9"/>
      <c r="E52" s="9"/>
      <c r="F52" s="10"/>
      <c r="G52" s="10"/>
      <c r="H52" s="9"/>
      <c r="I52" s="9"/>
      <c r="J52" s="9"/>
      <c r="K52" s="9"/>
      <c r="L52" s="9">
        <f t="shared" si="0"/>
        <v>0</v>
      </c>
      <c r="M52" s="174"/>
      <c r="N52" s="29"/>
      <c r="O52" s="29"/>
      <c r="P52" s="30"/>
      <c r="Q52" s="30"/>
      <c r="R52" s="30"/>
      <c r="S52" s="30"/>
      <c r="T52" s="30"/>
      <c r="U52" s="29"/>
      <c r="V52" s="174"/>
      <c r="W52" s="174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70.5" customHeight="1" x14ac:dyDescent="0.85">
      <c r="A53" s="186">
        <v>12</v>
      </c>
      <c r="B53" s="199" t="s">
        <v>66</v>
      </c>
      <c r="C53" s="181" t="s">
        <v>56</v>
      </c>
      <c r="D53" s="9" t="s">
        <v>58</v>
      </c>
      <c r="E53" s="9" t="s">
        <v>128</v>
      </c>
      <c r="F53" s="9">
        <v>3</v>
      </c>
      <c r="G53" s="9"/>
      <c r="H53" s="9"/>
      <c r="I53" s="9"/>
      <c r="J53" s="21"/>
      <c r="K53" s="9">
        <v>2</v>
      </c>
      <c r="L53" s="9">
        <f t="shared" si="0"/>
        <v>5</v>
      </c>
      <c r="M53" s="178">
        <f>SUM(L53:L57)</f>
        <v>20</v>
      </c>
      <c r="N53" s="178" t="s">
        <v>24</v>
      </c>
      <c r="O53" s="9"/>
      <c r="P53" s="9"/>
      <c r="Q53" s="9"/>
      <c r="R53" s="177">
        <v>2</v>
      </c>
      <c r="S53" s="9" t="s">
        <v>25</v>
      </c>
      <c r="T53" s="9" t="s">
        <v>25</v>
      </c>
      <c r="U53" s="9" t="s">
        <v>39</v>
      </c>
      <c r="V53" s="172" t="s">
        <v>67</v>
      </c>
      <c r="W53" s="172" t="s">
        <v>68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70.5" customHeight="1" x14ac:dyDescent="0.85">
      <c r="A54" s="173"/>
      <c r="B54" s="173"/>
      <c r="C54" s="173"/>
      <c r="D54" s="9" t="s">
        <v>129</v>
      </c>
      <c r="E54" s="9" t="s">
        <v>128</v>
      </c>
      <c r="F54" s="9">
        <v>3</v>
      </c>
      <c r="G54" s="9"/>
      <c r="H54" s="9">
        <v>2</v>
      </c>
      <c r="I54" s="9">
        <v>2</v>
      </c>
      <c r="J54" s="9">
        <v>2</v>
      </c>
      <c r="K54" s="9">
        <v>2</v>
      </c>
      <c r="L54" s="9">
        <f t="shared" si="0"/>
        <v>11</v>
      </c>
      <c r="M54" s="173"/>
      <c r="N54" s="173"/>
      <c r="O54" s="9"/>
      <c r="P54" s="9"/>
      <c r="Q54" s="9"/>
      <c r="R54" s="173"/>
      <c r="S54" s="9"/>
      <c r="T54" s="9"/>
      <c r="U54" s="9"/>
      <c r="V54" s="173"/>
      <c r="W54" s="173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70.5" customHeight="1" x14ac:dyDescent="0.85">
      <c r="A55" s="173"/>
      <c r="B55" s="173"/>
      <c r="C55" s="173"/>
      <c r="D55" s="31"/>
      <c r="E55" s="28"/>
      <c r="F55" s="28"/>
      <c r="G55" s="28"/>
      <c r="H55" s="28"/>
      <c r="I55" s="28"/>
      <c r="J55" s="28"/>
      <c r="K55" s="9"/>
      <c r="L55" s="9"/>
      <c r="M55" s="173"/>
      <c r="N55" s="173"/>
      <c r="O55" s="11"/>
      <c r="P55" s="15"/>
      <c r="Q55" s="15"/>
      <c r="R55" s="173"/>
      <c r="S55" s="15"/>
      <c r="T55" s="15"/>
      <c r="U55" s="11"/>
      <c r="V55" s="173"/>
      <c r="W55" s="173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70.5" customHeight="1" x14ac:dyDescent="0.85">
      <c r="A56" s="173"/>
      <c r="B56" s="173"/>
      <c r="C56" s="173"/>
      <c r="D56" s="9" t="s">
        <v>46</v>
      </c>
      <c r="E56" s="9" t="s">
        <v>36</v>
      </c>
      <c r="F56" s="9"/>
      <c r="G56" s="9">
        <v>2</v>
      </c>
      <c r="H56" s="9"/>
      <c r="I56" s="9"/>
      <c r="J56" s="9"/>
      <c r="K56" s="9"/>
      <c r="L56" s="9">
        <f t="shared" ref="L56:L59" si="1">SUM(F56:K56)</f>
        <v>2</v>
      </c>
      <c r="M56" s="173"/>
      <c r="N56" s="173"/>
      <c r="O56" s="11"/>
      <c r="P56" s="15">
        <v>8</v>
      </c>
      <c r="Q56" s="15">
        <v>0</v>
      </c>
      <c r="R56" s="173"/>
      <c r="S56" s="15"/>
      <c r="T56" s="15"/>
      <c r="U56" s="11"/>
      <c r="V56" s="173"/>
      <c r="W56" s="173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70.5" customHeight="1" x14ac:dyDescent="0.85">
      <c r="A57" s="174"/>
      <c r="B57" s="174"/>
      <c r="C57" s="174"/>
      <c r="D57" s="12" t="s">
        <v>117</v>
      </c>
      <c r="E57" s="12" t="s">
        <v>107</v>
      </c>
      <c r="F57" s="12"/>
      <c r="G57" s="12">
        <v>2</v>
      </c>
      <c r="H57" s="13"/>
      <c r="I57" s="13"/>
      <c r="J57" s="13"/>
      <c r="K57" s="13"/>
      <c r="L57" s="13">
        <f t="shared" si="1"/>
        <v>2</v>
      </c>
      <c r="M57" s="174"/>
      <c r="N57" s="174"/>
      <c r="O57" s="11"/>
      <c r="P57" s="15"/>
      <c r="Q57" s="15"/>
      <c r="R57" s="174"/>
      <c r="S57" s="15"/>
      <c r="T57" s="15"/>
      <c r="U57" s="11"/>
      <c r="V57" s="174"/>
      <c r="W57" s="174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70.5" customHeight="1" x14ac:dyDescent="0.85">
      <c r="A58" s="186">
        <v>13</v>
      </c>
      <c r="B58" s="199" t="s">
        <v>69</v>
      </c>
      <c r="C58" s="181" t="s">
        <v>56</v>
      </c>
      <c r="D58" s="9" t="s">
        <v>129</v>
      </c>
      <c r="E58" s="14" t="s">
        <v>123</v>
      </c>
      <c r="F58" s="9">
        <v>3</v>
      </c>
      <c r="G58" s="9"/>
      <c r="H58" s="9">
        <v>2</v>
      </c>
      <c r="I58" s="9">
        <v>2</v>
      </c>
      <c r="J58" s="9">
        <v>2</v>
      </c>
      <c r="K58" s="9">
        <v>2</v>
      </c>
      <c r="L58" s="9">
        <f t="shared" si="1"/>
        <v>11</v>
      </c>
      <c r="M58" s="178">
        <f>SUM(L58:L62)</f>
        <v>18</v>
      </c>
      <c r="N58" s="178" t="s">
        <v>24</v>
      </c>
      <c r="O58" s="9"/>
      <c r="P58" s="9"/>
      <c r="Q58" s="9"/>
      <c r="R58" s="177">
        <v>2</v>
      </c>
      <c r="S58" s="9" t="s">
        <v>25</v>
      </c>
      <c r="T58" s="9" t="s">
        <v>25</v>
      </c>
      <c r="U58" s="9" t="s">
        <v>39</v>
      </c>
      <c r="V58" s="172" t="s">
        <v>70</v>
      </c>
      <c r="W58" s="172" t="s">
        <v>71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70.5" customHeight="1" x14ac:dyDescent="0.85">
      <c r="A59" s="173"/>
      <c r="B59" s="173"/>
      <c r="C59" s="173"/>
      <c r="D59" s="22" t="s">
        <v>54</v>
      </c>
      <c r="E59" s="22" t="s">
        <v>119</v>
      </c>
      <c r="F59" s="22">
        <v>3</v>
      </c>
      <c r="G59" s="22"/>
      <c r="H59" s="22"/>
      <c r="I59" s="22"/>
      <c r="J59" s="22"/>
      <c r="K59" s="22">
        <v>2</v>
      </c>
      <c r="L59" s="22">
        <f t="shared" si="1"/>
        <v>5</v>
      </c>
      <c r="M59" s="173"/>
      <c r="N59" s="173"/>
      <c r="O59" s="11"/>
      <c r="P59" s="15"/>
      <c r="Q59" s="15"/>
      <c r="R59" s="173"/>
      <c r="S59" s="15"/>
      <c r="T59" s="15"/>
      <c r="U59" s="11"/>
      <c r="V59" s="173"/>
      <c r="W59" s="173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70.5" customHeight="1" x14ac:dyDescent="0.85">
      <c r="A60" s="173"/>
      <c r="B60" s="173"/>
      <c r="C60" s="173"/>
      <c r="D60" s="24"/>
      <c r="E60" s="24"/>
      <c r="F60" s="24"/>
      <c r="G60" s="24"/>
      <c r="H60" s="24"/>
      <c r="I60" s="24"/>
      <c r="J60" s="24"/>
      <c r="K60" s="24"/>
      <c r="L60" s="24"/>
      <c r="M60" s="173"/>
      <c r="N60" s="173"/>
      <c r="O60" s="11"/>
      <c r="P60" s="15">
        <v>8</v>
      </c>
      <c r="Q60" s="15"/>
      <c r="R60" s="173"/>
      <c r="S60" s="15"/>
      <c r="T60" s="15"/>
      <c r="U60" s="11"/>
      <c r="V60" s="173"/>
      <c r="W60" s="173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70.5" customHeight="1" x14ac:dyDescent="0.85">
      <c r="A61" s="173"/>
      <c r="B61" s="173"/>
      <c r="C61" s="173"/>
      <c r="D61" s="32" t="s">
        <v>117</v>
      </c>
      <c r="E61" s="32" t="s">
        <v>107</v>
      </c>
      <c r="F61" s="32"/>
      <c r="G61" s="32">
        <v>2</v>
      </c>
      <c r="H61" s="33"/>
      <c r="I61" s="33"/>
      <c r="J61" s="33"/>
      <c r="K61" s="33"/>
      <c r="L61" s="33">
        <f t="shared" ref="L61:L113" si="2">SUM(F61:K61)</f>
        <v>2</v>
      </c>
      <c r="M61" s="173"/>
      <c r="N61" s="173"/>
      <c r="O61" s="11"/>
      <c r="P61" s="15"/>
      <c r="Q61" s="15"/>
      <c r="R61" s="173"/>
      <c r="S61" s="15"/>
      <c r="T61" s="15"/>
      <c r="U61" s="11"/>
      <c r="V61" s="173"/>
      <c r="W61" s="173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70.5" customHeight="1" x14ac:dyDescent="0.85">
      <c r="A62" s="174"/>
      <c r="B62" s="174"/>
      <c r="C62" s="174"/>
      <c r="D62" s="16"/>
      <c r="E62" s="16"/>
      <c r="F62" s="16"/>
      <c r="G62" s="16"/>
      <c r="H62" s="9"/>
      <c r="I62" s="9"/>
      <c r="J62" s="9"/>
      <c r="K62" s="9"/>
      <c r="L62" s="9">
        <f t="shared" si="2"/>
        <v>0</v>
      </c>
      <c r="M62" s="174"/>
      <c r="N62" s="174"/>
      <c r="O62" s="11"/>
      <c r="P62" s="15"/>
      <c r="Q62" s="15"/>
      <c r="R62" s="174"/>
      <c r="S62" s="15"/>
      <c r="T62" s="15"/>
      <c r="U62" s="11"/>
      <c r="V62" s="174"/>
      <c r="W62" s="174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70.5" customHeight="1" x14ac:dyDescent="0.85">
      <c r="A63" s="186">
        <v>14</v>
      </c>
      <c r="B63" s="199" t="s">
        <v>72</v>
      </c>
      <c r="C63" s="181" t="s">
        <v>56</v>
      </c>
      <c r="D63" s="14" t="s">
        <v>59</v>
      </c>
      <c r="E63" s="14" t="s">
        <v>110</v>
      </c>
      <c r="F63" s="9">
        <v>3</v>
      </c>
      <c r="G63" s="9"/>
      <c r="H63" s="9">
        <v>2</v>
      </c>
      <c r="I63" s="9">
        <v>2</v>
      </c>
      <c r="J63" s="9">
        <v>2</v>
      </c>
      <c r="K63" s="9">
        <v>2</v>
      </c>
      <c r="L63" s="9">
        <f t="shared" si="2"/>
        <v>11</v>
      </c>
      <c r="M63" s="178">
        <f>SUM(L63:L66)</f>
        <v>18</v>
      </c>
      <c r="N63" s="178" t="s">
        <v>24</v>
      </c>
      <c r="O63" s="9"/>
      <c r="P63" s="9"/>
      <c r="Q63" s="9"/>
      <c r="R63" s="177">
        <v>4</v>
      </c>
      <c r="S63" s="9" t="s">
        <v>25</v>
      </c>
      <c r="T63" s="9" t="s">
        <v>25</v>
      </c>
      <c r="U63" s="9" t="s">
        <v>39</v>
      </c>
      <c r="V63" s="172" t="s">
        <v>73</v>
      </c>
      <c r="W63" s="172" t="s">
        <v>74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70.5" customHeight="1" x14ac:dyDescent="0.85">
      <c r="A64" s="173"/>
      <c r="B64" s="173"/>
      <c r="C64" s="173"/>
      <c r="D64" s="14" t="s">
        <v>46</v>
      </c>
      <c r="E64" s="14" t="s">
        <v>110</v>
      </c>
      <c r="F64" s="9"/>
      <c r="G64" s="9"/>
      <c r="H64" s="9"/>
      <c r="I64" s="9">
        <v>2</v>
      </c>
      <c r="J64" s="21"/>
      <c r="K64" s="9"/>
      <c r="L64" s="9">
        <f t="shared" si="2"/>
        <v>2</v>
      </c>
      <c r="M64" s="173"/>
      <c r="N64" s="173"/>
      <c r="O64" s="11"/>
      <c r="P64" s="15"/>
      <c r="Q64" s="15"/>
      <c r="R64" s="173"/>
      <c r="S64" s="15"/>
      <c r="T64" s="15"/>
      <c r="U64" s="11"/>
      <c r="V64" s="173"/>
      <c r="W64" s="173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70.5" customHeight="1" x14ac:dyDescent="0.85">
      <c r="A65" s="173"/>
      <c r="B65" s="173"/>
      <c r="C65" s="173"/>
      <c r="D65" s="16" t="s">
        <v>35</v>
      </c>
      <c r="E65" s="16" t="s">
        <v>36</v>
      </c>
      <c r="F65" s="16"/>
      <c r="G65" s="16">
        <v>2</v>
      </c>
      <c r="H65" s="11"/>
      <c r="I65" s="11"/>
      <c r="J65" s="11"/>
      <c r="K65" s="11"/>
      <c r="L65" s="9">
        <f t="shared" si="2"/>
        <v>2</v>
      </c>
      <c r="M65" s="173"/>
      <c r="N65" s="173"/>
      <c r="O65" s="11"/>
      <c r="P65" s="15"/>
      <c r="Q65" s="15">
        <v>8</v>
      </c>
      <c r="R65" s="173"/>
      <c r="S65" s="15"/>
      <c r="T65" s="15"/>
      <c r="U65" s="11"/>
      <c r="V65" s="173"/>
      <c r="W65" s="173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70.5" customHeight="1" x14ac:dyDescent="0.85">
      <c r="A66" s="174"/>
      <c r="B66" s="174"/>
      <c r="C66" s="174"/>
      <c r="D66" s="12" t="s">
        <v>117</v>
      </c>
      <c r="E66" s="12" t="s">
        <v>107</v>
      </c>
      <c r="F66" s="12"/>
      <c r="G66" s="12">
        <v>3</v>
      </c>
      <c r="H66" s="13"/>
      <c r="I66" s="13"/>
      <c r="J66" s="13"/>
      <c r="K66" s="13"/>
      <c r="L66" s="13">
        <f t="shared" si="2"/>
        <v>3</v>
      </c>
      <c r="M66" s="174"/>
      <c r="N66" s="174"/>
      <c r="O66" s="11"/>
      <c r="P66" s="15"/>
      <c r="Q66" s="15"/>
      <c r="R66" s="174"/>
      <c r="S66" s="15"/>
      <c r="T66" s="15"/>
      <c r="U66" s="11"/>
      <c r="V66" s="174"/>
      <c r="W66" s="174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70.5" customHeight="1" x14ac:dyDescent="0.85">
      <c r="A67" s="186">
        <v>15</v>
      </c>
      <c r="B67" s="187" t="s">
        <v>130</v>
      </c>
      <c r="C67" s="181" t="s">
        <v>56</v>
      </c>
      <c r="D67" s="14" t="s">
        <v>51</v>
      </c>
      <c r="E67" s="14" t="s">
        <v>108</v>
      </c>
      <c r="F67" s="9"/>
      <c r="G67" s="9"/>
      <c r="H67" s="11">
        <v>2</v>
      </c>
      <c r="I67" s="11">
        <v>2</v>
      </c>
      <c r="J67" s="9">
        <v>2</v>
      </c>
      <c r="K67" s="9">
        <v>2</v>
      </c>
      <c r="L67" s="9">
        <f t="shared" si="2"/>
        <v>8</v>
      </c>
      <c r="M67" s="178">
        <f>SUM(L67:L71)</f>
        <v>19</v>
      </c>
      <c r="N67" s="178" t="s">
        <v>24</v>
      </c>
      <c r="O67" s="9"/>
      <c r="P67" s="9"/>
      <c r="Q67" s="9">
        <v>8</v>
      </c>
      <c r="R67" s="177">
        <v>2</v>
      </c>
      <c r="S67" s="9" t="s">
        <v>25</v>
      </c>
      <c r="T67" s="9" t="s">
        <v>25</v>
      </c>
      <c r="U67" s="9" t="s">
        <v>39</v>
      </c>
      <c r="V67" s="172" t="s">
        <v>131</v>
      </c>
      <c r="W67" s="172" t="s">
        <v>75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70.5" customHeight="1" x14ac:dyDescent="0.85">
      <c r="A68" s="173"/>
      <c r="B68" s="173"/>
      <c r="C68" s="173"/>
      <c r="D68" s="9" t="s">
        <v>35</v>
      </c>
      <c r="E68" s="14" t="s">
        <v>108</v>
      </c>
      <c r="F68" s="9">
        <v>3</v>
      </c>
      <c r="G68" s="9"/>
      <c r="H68" s="9"/>
      <c r="I68" s="9"/>
      <c r="J68" s="9"/>
      <c r="K68" s="9"/>
      <c r="L68" s="9">
        <f t="shared" si="2"/>
        <v>3</v>
      </c>
      <c r="M68" s="173"/>
      <c r="N68" s="173"/>
      <c r="O68" s="11"/>
      <c r="P68" s="15"/>
      <c r="Q68" s="15"/>
      <c r="R68" s="173"/>
      <c r="S68" s="15"/>
      <c r="T68" s="15"/>
      <c r="U68" s="11"/>
      <c r="V68" s="173"/>
      <c r="W68" s="173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70.5" customHeight="1" x14ac:dyDescent="0.85">
      <c r="A69" s="173"/>
      <c r="B69" s="173"/>
      <c r="C69" s="173"/>
      <c r="D69" s="9" t="s">
        <v>54</v>
      </c>
      <c r="E69" s="9" t="s">
        <v>119</v>
      </c>
      <c r="F69" s="9"/>
      <c r="G69" s="9"/>
      <c r="H69" s="9">
        <v>2</v>
      </c>
      <c r="I69" s="9">
        <v>2</v>
      </c>
      <c r="J69" s="9"/>
      <c r="K69" s="9"/>
      <c r="L69" s="9">
        <f t="shared" si="2"/>
        <v>4</v>
      </c>
      <c r="M69" s="173"/>
      <c r="N69" s="173"/>
      <c r="O69" s="11"/>
      <c r="P69" s="15"/>
      <c r="Q69" s="15"/>
      <c r="R69" s="173"/>
      <c r="S69" s="15"/>
      <c r="T69" s="15"/>
      <c r="U69" s="11"/>
      <c r="V69" s="173"/>
      <c r="W69" s="173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70.5" customHeight="1" x14ac:dyDescent="0.85">
      <c r="A70" s="173"/>
      <c r="B70" s="173"/>
      <c r="C70" s="173"/>
      <c r="D70" s="14" t="s">
        <v>54</v>
      </c>
      <c r="E70" s="14" t="s">
        <v>36</v>
      </c>
      <c r="F70" s="9"/>
      <c r="G70" s="9">
        <v>2</v>
      </c>
      <c r="H70" s="9"/>
      <c r="I70" s="9"/>
      <c r="J70" s="9"/>
      <c r="K70" s="9"/>
      <c r="L70" s="9">
        <f t="shared" si="2"/>
        <v>2</v>
      </c>
      <c r="M70" s="173"/>
      <c r="N70" s="173"/>
      <c r="O70" s="11"/>
      <c r="P70" s="15"/>
      <c r="Q70" s="15"/>
      <c r="R70" s="173"/>
      <c r="S70" s="15"/>
      <c r="T70" s="15"/>
      <c r="U70" s="11"/>
      <c r="V70" s="173"/>
      <c r="W70" s="173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70.5" customHeight="1" x14ac:dyDescent="0.85">
      <c r="A71" s="174"/>
      <c r="B71" s="174"/>
      <c r="C71" s="174"/>
      <c r="D71" s="12" t="s">
        <v>117</v>
      </c>
      <c r="E71" s="12" t="s">
        <v>107</v>
      </c>
      <c r="F71" s="12"/>
      <c r="G71" s="12">
        <v>2</v>
      </c>
      <c r="H71" s="13"/>
      <c r="I71" s="13"/>
      <c r="J71" s="13"/>
      <c r="K71" s="13"/>
      <c r="L71" s="13">
        <f t="shared" si="2"/>
        <v>2</v>
      </c>
      <c r="M71" s="174"/>
      <c r="N71" s="174"/>
      <c r="O71" s="11"/>
      <c r="P71" s="15"/>
      <c r="Q71" s="15"/>
      <c r="R71" s="174"/>
      <c r="S71" s="15"/>
      <c r="T71" s="15"/>
      <c r="U71" s="11"/>
      <c r="V71" s="174"/>
      <c r="W71" s="174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70.5" customHeight="1" x14ac:dyDescent="0.85">
      <c r="A72" s="186">
        <v>16</v>
      </c>
      <c r="B72" s="224" t="s">
        <v>132</v>
      </c>
      <c r="C72" s="181" t="s">
        <v>56</v>
      </c>
      <c r="D72" s="14" t="s">
        <v>59</v>
      </c>
      <c r="E72" s="9" t="s">
        <v>133</v>
      </c>
      <c r="F72" s="9">
        <v>2</v>
      </c>
      <c r="G72" s="9"/>
      <c r="H72" s="9">
        <v>2</v>
      </c>
      <c r="I72" s="9">
        <v>2</v>
      </c>
      <c r="J72" s="9">
        <v>2</v>
      </c>
      <c r="K72" s="9">
        <v>2</v>
      </c>
      <c r="L72" s="9">
        <f t="shared" si="2"/>
        <v>10</v>
      </c>
      <c r="M72" s="178">
        <f>SUM(L72:L77)</f>
        <v>18</v>
      </c>
      <c r="N72" s="178" t="s">
        <v>24</v>
      </c>
      <c r="O72" s="9"/>
      <c r="P72" s="9"/>
      <c r="Q72" s="9"/>
      <c r="R72" s="177">
        <v>2</v>
      </c>
      <c r="S72" s="9" t="s">
        <v>25</v>
      </c>
      <c r="T72" s="9" t="s">
        <v>25</v>
      </c>
      <c r="U72" s="9" t="s">
        <v>39</v>
      </c>
      <c r="V72" s="172" t="s">
        <v>134</v>
      </c>
      <c r="W72" s="172" t="s">
        <v>135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70.5" customHeight="1" x14ac:dyDescent="0.85">
      <c r="A73" s="173"/>
      <c r="B73" s="173"/>
      <c r="C73" s="173"/>
      <c r="D73" s="28" t="s">
        <v>136</v>
      </c>
      <c r="E73" s="28" t="s">
        <v>109</v>
      </c>
      <c r="F73" s="28"/>
      <c r="G73" s="28"/>
      <c r="H73" s="28"/>
      <c r="I73" s="28">
        <v>2</v>
      </c>
      <c r="J73" s="28">
        <v>2</v>
      </c>
      <c r="K73" s="28"/>
      <c r="L73" s="9">
        <f t="shared" si="2"/>
        <v>4</v>
      </c>
      <c r="M73" s="173"/>
      <c r="N73" s="173"/>
      <c r="O73" s="11"/>
      <c r="P73" s="15"/>
      <c r="Q73" s="15"/>
      <c r="R73" s="173"/>
      <c r="S73" s="15"/>
      <c r="T73" s="15"/>
      <c r="U73" s="11"/>
      <c r="V73" s="173"/>
      <c r="W73" s="173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70.5" customHeight="1" x14ac:dyDescent="0.85">
      <c r="A74" s="173"/>
      <c r="B74" s="173"/>
      <c r="C74" s="173"/>
      <c r="D74" s="9" t="s">
        <v>54</v>
      </c>
      <c r="E74" s="9" t="s">
        <v>36</v>
      </c>
      <c r="F74" s="10"/>
      <c r="G74" s="10">
        <v>2</v>
      </c>
      <c r="H74" s="34"/>
      <c r="I74" s="9"/>
      <c r="J74" s="11"/>
      <c r="K74" s="11"/>
      <c r="L74" s="9">
        <f t="shared" si="2"/>
        <v>2</v>
      </c>
      <c r="M74" s="173"/>
      <c r="N74" s="173"/>
      <c r="O74" s="11"/>
      <c r="P74" s="15"/>
      <c r="Q74" s="15"/>
      <c r="R74" s="173"/>
      <c r="S74" s="15"/>
      <c r="T74" s="15"/>
      <c r="U74" s="11"/>
      <c r="V74" s="173"/>
      <c r="W74" s="173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70.5" customHeight="1" x14ac:dyDescent="0.85">
      <c r="A75" s="173"/>
      <c r="B75" s="173"/>
      <c r="C75" s="173"/>
      <c r="D75" s="12" t="s">
        <v>117</v>
      </c>
      <c r="E75" s="12" t="s">
        <v>107</v>
      </c>
      <c r="F75" s="12"/>
      <c r="G75" s="12">
        <v>2</v>
      </c>
      <c r="H75" s="13"/>
      <c r="I75" s="13"/>
      <c r="J75" s="13"/>
      <c r="K75" s="13"/>
      <c r="L75" s="13">
        <f t="shared" si="2"/>
        <v>2</v>
      </c>
      <c r="M75" s="173"/>
      <c r="N75" s="173"/>
      <c r="O75" s="11"/>
      <c r="P75" s="15"/>
      <c r="Q75" s="15"/>
      <c r="R75" s="173"/>
      <c r="S75" s="15"/>
      <c r="T75" s="15"/>
      <c r="U75" s="11"/>
      <c r="V75" s="173"/>
      <c r="W75" s="173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70.5" customHeight="1" x14ac:dyDescent="0.85">
      <c r="A76" s="173"/>
      <c r="B76" s="173"/>
      <c r="C76" s="173"/>
      <c r="D76" s="18"/>
      <c r="E76" s="18"/>
      <c r="F76" s="18"/>
      <c r="G76" s="18"/>
      <c r="H76" s="9"/>
      <c r="I76" s="9"/>
      <c r="J76" s="9"/>
      <c r="K76" s="9"/>
      <c r="L76" s="9">
        <f t="shared" si="2"/>
        <v>0</v>
      </c>
      <c r="M76" s="173"/>
      <c r="N76" s="173"/>
      <c r="O76" s="11"/>
      <c r="P76" s="15">
        <v>8</v>
      </c>
      <c r="Q76" s="15">
        <v>0</v>
      </c>
      <c r="R76" s="173"/>
      <c r="S76" s="15"/>
      <c r="T76" s="15"/>
      <c r="U76" s="11"/>
      <c r="V76" s="173"/>
      <c r="W76" s="173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70.5" customHeight="1" x14ac:dyDescent="0.85">
      <c r="A77" s="174"/>
      <c r="B77" s="174"/>
      <c r="C77" s="174"/>
      <c r="D77" s="35"/>
      <c r="E77" s="35"/>
      <c r="F77" s="35"/>
      <c r="G77" s="35"/>
      <c r="H77" s="22"/>
      <c r="I77" s="22"/>
      <c r="J77" s="22"/>
      <c r="K77" s="22"/>
      <c r="L77" s="9">
        <f t="shared" si="2"/>
        <v>0</v>
      </c>
      <c r="M77" s="174"/>
      <c r="N77" s="174"/>
      <c r="O77" s="11"/>
      <c r="P77" s="15"/>
      <c r="Q77" s="15"/>
      <c r="R77" s="174"/>
      <c r="S77" s="15"/>
      <c r="T77" s="15"/>
      <c r="U77" s="11"/>
      <c r="V77" s="174"/>
      <c r="W77" s="174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70.5" customHeight="1" x14ac:dyDescent="0.85">
      <c r="A78" s="186">
        <v>17</v>
      </c>
      <c r="B78" s="220" t="s">
        <v>137</v>
      </c>
      <c r="C78" s="221" t="s">
        <v>56</v>
      </c>
      <c r="D78" s="9" t="s">
        <v>64</v>
      </c>
      <c r="E78" s="9" t="s">
        <v>133</v>
      </c>
      <c r="F78" s="9">
        <v>2</v>
      </c>
      <c r="G78" s="9"/>
      <c r="H78" s="9">
        <v>2</v>
      </c>
      <c r="I78" s="9">
        <v>2</v>
      </c>
      <c r="J78" s="9">
        <v>2</v>
      </c>
      <c r="K78" s="9"/>
      <c r="L78" s="9">
        <f t="shared" si="2"/>
        <v>8</v>
      </c>
      <c r="M78" s="202">
        <f>SUM(L78:L83)</f>
        <v>20</v>
      </c>
      <c r="N78" s="178" t="s">
        <v>24</v>
      </c>
      <c r="O78" s="9"/>
      <c r="P78" s="9"/>
      <c r="Q78" s="9"/>
      <c r="R78" s="177">
        <v>2</v>
      </c>
      <c r="S78" s="9" t="s">
        <v>25</v>
      </c>
      <c r="T78" s="9" t="s">
        <v>25</v>
      </c>
      <c r="U78" s="9" t="s">
        <v>39</v>
      </c>
      <c r="V78" s="172" t="s">
        <v>138</v>
      </c>
      <c r="W78" s="172" t="s">
        <v>76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70.5" customHeight="1" x14ac:dyDescent="0.85">
      <c r="A79" s="173"/>
      <c r="B79" s="173"/>
      <c r="C79" s="222"/>
      <c r="D79" s="9" t="s">
        <v>59</v>
      </c>
      <c r="E79" s="36" t="s">
        <v>109</v>
      </c>
      <c r="F79" s="9"/>
      <c r="G79" s="9"/>
      <c r="H79" s="9">
        <v>2</v>
      </c>
      <c r="I79" s="9"/>
      <c r="J79" s="9">
        <v>2</v>
      </c>
      <c r="K79" s="9"/>
      <c r="L79" s="9">
        <f t="shared" si="2"/>
        <v>4</v>
      </c>
      <c r="M79" s="203"/>
      <c r="N79" s="173"/>
      <c r="O79" s="11"/>
      <c r="P79" s="15"/>
      <c r="Q79" s="15"/>
      <c r="R79" s="173"/>
      <c r="S79" s="15"/>
      <c r="T79" s="15"/>
      <c r="U79" s="11"/>
      <c r="V79" s="173"/>
      <c r="W79" s="173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70.5" customHeight="1" x14ac:dyDescent="0.85">
      <c r="A80" s="173"/>
      <c r="B80" s="173"/>
      <c r="C80" s="222"/>
      <c r="D80" s="9" t="s">
        <v>46</v>
      </c>
      <c r="E80" s="36" t="s">
        <v>109</v>
      </c>
      <c r="F80" s="24"/>
      <c r="G80" s="24"/>
      <c r="H80" s="9">
        <v>2</v>
      </c>
      <c r="I80" s="9"/>
      <c r="J80" s="9"/>
      <c r="K80" s="9"/>
      <c r="L80" s="9">
        <f t="shared" si="2"/>
        <v>2</v>
      </c>
      <c r="M80" s="203"/>
      <c r="N80" s="173"/>
      <c r="O80" s="11"/>
      <c r="P80" s="15"/>
      <c r="Q80" s="15"/>
      <c r="R80" s="173"/>
      <c r="S80" s="15"/>
      <c r="T80" s="15"/>
      <c r="U80" s="11"/>
      <c r="V80" s="173"/>
      <c r="W80" s="173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70.5" customHeight="1" x14ac:dyDescent="0.85">
      <c r="A81" s="173"/>
      <c r="B81" s="173"/>
      <c r="C81" s="222"/>
      <c r="D81" s="14" t="s">
        <v>59</v>
      </c>
      <c r="E81" s="14" t="s">
        <v>36</v>
      </c>
      <c r="F81" s="9"/>
      <c r="G81" s="9">
        <v>2</v>
      </c>
      <c r="H81" s="9"/>
      <c r="I81" s="9"/>
      <c r="J81" s="9"/>
      <c r="K81" s="9"/>
      <c r="L81" s="9">
        <f t="shared" si="2"/>
        <v>2</v>
      </c>
      <c r="M81" s="203"/>
      <c r="N81" s="173"/>
      <c r="O81" s="11"/>
      <c r="P81" s="15">
        <v>8</v>
      </c>
      <c r="Q81" s="15">
        <v>8</v>
      </c>
      <c r="R81" s="173"/>
      <c r="S81" s="15"/>
      <c r="T81" s="15"/>
      <c r="U81" s="11"/>
      <c r="V81" s="173"/>
      <c r="W81" s="173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70.5" customHeight="1" x14ac:dyDescent="0.85">
      <c r="A82" s="173"/>
      <c r="B82" s="173"/>
      <c r="C82" s="222"/>
      <c r="D82" s="16" t="s">
        <v>54</v>
      </c>
      <c r="E82" s="16" t="s">
        <v>36</v>
      </c>
      <c r="F82" s="16"/>
      <c r="G82" s="37">
        <v>2</v>
      </c>
      <c r="H82" s="9"/>
      <c r="I82" s="9"/>
      <c r="J82" s="9"/>
      <c r="K82" s="9"/>
      <c r="L82" s="9">
        <f t="shared" si="2"/>
        <v>2</v>
      </c>
      <c r="M82" s="203"/>
      <c r="N82" s="173"/>
      <c r="O82" s="11"/>
      <c r="P82" s="15"/>
      <c r="Q82" s="15"/>
      <c r="R82" s="173"/>
      <c r="S82" s="15"/>
      <c r="T82" s="15"/>
      <c r="U82" s="11"/>
      <c r="V82" s="173"/>
      <c r="W82" s="173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70.5" customHeight="1" x14ac:dyDescent="0.85">
      <c r="A83" s="174"/>
      <c r="B83" s="174"/>
      <c r="C83" s="223"/>
      <c r="D83" s="12" t="s">
        <v>117</v>
      </c>
      <c r="E83" s="12" t="s">
        <v>107</v>
      </c>
      <c r="F83" s="12"/>
      <c r="G83" s="12">
        <v>2</v>
      </c>
      <c r="H83" s="13"/>
      <c r="I83" s="13"/>
      <c r="J83" s="13"/>
      <c r="K83" s="13"/>
      <c r="L83" s="13">
        <f t="shared" si="2"/>
        <v>2</v>
      </c>
      <c r="M83" s="206"/>
      <c r="N83" s="174"/>
      <c r="O83" s="11"/>
      <c r="P83" s="15"/>
      <c r="Q83" s="15"/>
      <c r="R83" s="174"/>
      <c r="S83" s="15"/>
      <c r="T83" s="15"/>
      <c r="U83" s="11"/>
      <c r="V83" s="174"/>
      <c r="W83" s="174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06.5" customHeight="1" x14ac:dyDescent="0.85">
      <c r="A84" s="38">
        <v>0</v>
      </c>
      <c r="B84" s="39" t="s">
        <v>139</v>
      </c>
      <c r="C84" s="40" t="s">
        <v>56</v>
      </c>
      <c r="D84" s="25"/>
      <c r="E84" s="25"/>
      <c r="F84" s="25"/>
      <c r="G84" s="25"/>
      <c r="H84" s="25"/>
      <c r="I84" s="25"/>
      <c r="J84" s="25"/>
      <c r="K84" s="25"/>
      <c r="L84" s="9">
        <f t="shared" si="2"/>
        <v>0</v>
      </c>
      <c r="M84" s="9"/>
      <c r="N84" s="9"/>
      <c r="O84" s="9"/>
      <c r="P84" s="9"/>
      <c r="Q84" s="9"/>
      <c r="R84" s="9"/>
      <c r="S84" s="9" t="s">
        <v>25</v>
      </c>
      <c r="T84" s="9" t="s">
        <v>25</v>
      </c>
      <c r="U84" s="9"/>
      <c r="V84" s="9"/>
      <c r="W84" s="41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06.5" customHeight="1" x14ac:dyDescent="0.85">
      <c r="A85" s="192">
        <v>18</v>
      </c>
      <c r="B85" s="189" t="s">
        <v>77</v>
      </c>
      <c r="C85" s="181" t="s">
        <v>56</v>
      </c>
      <c r="D85" s="14" t="s">
        <v>46</v>
      </c>
      <c r="E85" s="14" t="s">
        <v>133</v>
      </c>
      <c r="F85" s="14">
        <v>2</v>
      </c>
      <c r="G85" s="14"/>
      <c r="H85" s="14">
        <v>2</v>
      </c>
      <c r="I85" s="14">
        <v>2</v>
      </c>
      <c r="J85" s="14">
        <v>2</v>
      </c>
      <c r="K85" s="14">
        <v>2</v>
      </c>
      <c r="L85" s="9">
        <f t="shared" si="2"/>
        <v>10</v>
      </c>
      <c r="M85" s="178">
        <f>SUM(L85:L89)</f>
        <v>18</v>
      </c>
      <c r="N85" s="178" t="s">
        <v>24</v>
      </c>
      <c r="O85" s="9"/>
      <c r="P85" s="9"/>
      <c r="Q85" s="9"/>
      <c r="R85" s="177">
        <v>2</v>
      </c>
      <c r="S85" s="9" t="s">
        <v>25</v>
      </c>
      <c r="T85" s="9" t="s">
        <v>25</v>
      </c>
      <c r="U85" s="9" t="s">
        <v>39</v>
      </c>
      <c r="V85" s="172" t="s">
        <v>140</v>
      </c>
      <c r="W85" s="175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70.5" customHeight="1" x14ac:dyDescent="0.85">
      <c r="A86" s="173"/>
      <c r="B86" s="173"/>
      <c r="C86" s="173"/>
      <c r="D86" s="9" t="s">
        <v>54</v>
      </c>
      <c r="E86" s="9" t="s">
        <v>108</v>
      </c>
      <c r="F86" s="9"/>
      <c r="G86" s="9"/>
      <c r="H86" s="9"/>
      <c r="I86" s="9"/>
      <c r="J86" s="9">
        <v>2</v>
      </c>
      <c r="K86" s="9"/>
      <c r="L86" s="9">
        <f t="shared" si="2"/>
        <v>2</v>
      </c>
      <c r="M86" s="173"/>
      <c r="N86" s="173"/>
      <c r="O86" s="11"/>
      <c r="P86" s="15">
        <v>8</v>
      </c>
      <c r="Q86" s="15">
        <v>0</v>
      </c>
      <c r="R86" s="173"/>
      <c r="S86" s="15"/>
      <c r="T86" s="15"/>
      <c r="U86" s="11"/>
      <c r="V86" s="173"/>
      <c r="W86" s="173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70.5" customHeight="1" x14ac:dyDescent="0.85">
      <c r="A87" s="173"/>
      <c r="B87" s="173"/>
      <c r="C87" s="173"/>
      <c r="D87" s="9" t="s">
        <v>51</v>
      </c>
      <c r="E87" s="9" t="s">
        <v>36</v>
      </c>
      <c r="F87" s="9"/>
      <c r="G87" s="9">
        <v>2</v>
      </c>
      <c r="H87" s="9"/>
      <c r="I87" s="9"/>
      <c r="J87" s="9"/>
      <c r="K87" s="9"/>
      <c r="L87" s="9">
        <f t="shared" si="2"/>
        <v>2</v>
      </c>
      <c r="M87" s="173"/>
      <c r="N87" s="173"/>
      <c r="O87" s="11"/>
      <c r="P87" s="15"/>
      <c r="Q87" s="15"/>
      <c r="R87" s="173"/>
      <c r="S87" s="15"/>
      <c r="T87" s="15"/>
      <c r="U87" s="11"/>
      <c r="V87" s="173"/>
      <c r="W87" s="173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70.5" customHeight="1" x14ac:dyDescent="0.85">
      <c r="A88" s="173"/>
      <c r="B88" s="173"/>
      <c r="C88" s="173"/>
      <c r="D88" s="9" t="s">
        <v>64</v>
      </c>
      <c r="E88" s="9" t="s">
        <v>36</v>
      </c>
      <c r="F88" s="10"/>
      <c r="G88" s="10">
        <v>2</v>
      </c>
      <c r="H88" s="9"/>
      <c r="I88" s="9"/>
      <c r="J88" s="9"/>
      <c r="K88" s="9"/>
      <c r="L88" s="9">
        <f t="shared" si="2"/>
        <v>2</v>
      </c>
      <c r="M88" s="173"/>
      <c r="N88" s="173"/>
      <c r="O88" s="11"/>
      <c r="P88" s="15"/>
      <c r="Q88" s="15"/>
      <c r="R88" s="173"/>
      <c r="S88" s="15"/>
      <c r="T88" s="15"/>
      <c r="U88" s="11"/>
      <c r="V88" s="173"/>
      <c r="W88" s="173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70.5" customHeight="1" x14ac:dyDescent="0.85">
      <c r="A89" s="174"/>
      <c r="B89" s="174"/>
      <c r="C89" s="174"/>
      <c r="D89" s="12" t="s">
        <v>129</v>
      </c>
      <c r="E89" s="12" t="s">
        <v>107</v>
      </c>
      <c r="F89" s="12">
        <v>2</v>
      </c>
      <c r="G89" s="12"/>
      <c r="H89" s="13"/>
      <c r="I89" s="13"/>
      <c r="J89" s="13"/>
      <c r="K89" s="13"/>
      <c r="L89" s="13">
        <f t="shared" si="2"/>
        <v>2</v>
      </c>
      <c r="M89" s="174"/>
      <c r="N89" s="174"/>
      <c r="O89" s="11"/>
      <c r="P89" s="15"/>
      <c r="Q89" s="15"/>
      <c r="R89" s="174"/>
      <c r="S89" s="15"/>
      <c r="T89" s="15"/>
      <c r="U89" s="11"/>
      <c r="V89" s="174"/>
      <c r="W89" s="174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06.5" customHeight="1" x14ac:dyDescent="0.85">
      <c r="A90" s="185">
        <v>19</v>
      </c>
      <c r="B90" s="225" t="s">
        <v>141</v>
      </c>
      <c r="C90" s="179" t="s">
        <v>56</v>
      </c>
      <c r="D90" s="9" t="s">
        <v>54</v>
      </c>
      <c r="E90" s="14" t="s">
        <v>142</v>
      </c>
      <c r="F90" s="11">
        <v>2</v>
      </c>
      <c r="G90" s="9"/>
      <c r="H90" s="9">
        <v>2</v>
      </c>
      <c r="I90" s="9">
        <v>2</v>
      </c>
      <c r="J90" s="9">
        <v>2</v>
      </c>
      <c r="K90" s="9">
        <v>2</v>
      </c>
      <c r="L90" s="9">
        <f t="shared" si="2"/>
        <v>10</v>
      </c>
      <c r="M90" s="185">
        <f>SUM(L90:L94)</f>
        <v>19</v>
      </c>
      <c r="N90" s="178" t="s">
        <v>24</v>
      </c>
      <c r="O90" s="15"/>
      <c r="P90" s="15"/>
      <c r="Q90" s="15"/>
      <c r="R90" s="177">
        <v>2</v>
      </c>
      <c r="S90" s="9" t="s">
        <v>25</v>
      </c>
      <c r="T90" s="15" t="s">
        <v>25</v>
      </c>
      <c r="U90" s="9" t="s">
        <v>39</v>
      </c>
      <c r="V90" s="179" t="s">
        <v>78</v>
      </c>
      <c r="W90" s="180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70.5" customHeight="1" x14ac:dyDescent="0.85">
      <c r="A91" s="173"/>
      <c r="B91" s="173"/>
      <c r="C91" s="173"/>
      <c r="D91" s="28" t="s">
        <v>51</v>
      </c>
      <c r="E91" s="31" t="s">
        <v>143</v>
      </c>
      <c r="F91" s="28">
        <v>3</v>
      </c>
      <c r="G91" s="42"/>
      <c r="H91" s="28"/>
      <c r="I91" s="28"/>
      <c r="J91" s="28"/>
      <c r="K91" s="28"/>
      <c r="L91" s="9">
        <f t="shared" si="2"/>
        <v>3</v>
      </c>
      <c r="M91" s="173"/>
      <c r="N91" s="173"/>
      <c r="O91" s="11"/>
      <c r="P91" s="15">
        <v>8</v>
      </c>
      <c r="Q91" s="15">
        <v>8</v>
      </c>
      <c r="R91" s="173"/>
      <c r="S91" s="15"/>
      <c r="T91" s="15"/>
      <c r="U91" s="11"/>
      <c r="V91" s="173"/>
      <c r="W91" s="173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70.5" customHeight="1" x14ac:dyDescent="0.85">
      <c r="A92" s="173"/>
      <c r="B92" s="173"/>
      <c r="C92" s="173"/>
      <c r="D92" s="16" t="s">
        <v>59</v>
      </c>
      <c r="E92" s="16" t="s">
        <v>36</v>
      </c>
      <c r="F92" s="16"/>
      <c r="G92" s="16">
        <v>2</v>
      </c>
      <c r="H92" s="9"/>
      <c r="I92" s="9"/>
      <c r="J92" s="9"/>
      <c r="K92" s="9"/>
      <c r="L92" s="9">
        <f t="shared" si="2"/>
        <v>2</v>
      </c>
      <c r="M92" s="173"/>
      <c r="N92" s="173"/>
      <c r="O92" s="11"/>
      <c r="P92" s="15"/>
      <c r="Q92" s="15"/>
      <c r="R92" s="173"/>
      <c r="S92" s="15"/>
      <c r="T92" s="15"/>
      <c r="U92" s="11"/>
      <c r="V92" s="173"/>
      <c r="W92" s="173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70.5" customHeight="1" x14ac:dyDescent="0.85">
      <c r="A93" s="173"/>
      <c r="B93" s="173"/>
      <c r="C93" s="173"/>
      <c r="D93" s="9" t="s">
        <v>54</v>
      </c>
      <c r="E93" s="9" t="s">
        <v>36</v>
      </c>
      <c r="F93" s="9"/>
      <c r="G93" s="14">
        <v>2</v>
      </c>
      <c r="H93" s="14"/>
      <c r="I93" s="14"/>
      <c r="J93" s="14"/>
      <c r="K93" s="14"/>
      <c r="L93" s="9">
        <f t="shared" si="2"/>
        <v>2</v>
      </c>
      <c r="M93" s="173"/>
      <c r="N93" s="173"/>
      <c r="O93" s="11"/>
      <c r="P93" s="15"/>
      <c r="Q93" s="15"/>
      <c r="R93" s="173"/>
      <c r="S93" s="15"/>
      <c r="T93" s="15"/>
      <c r="U93" s="11"/>
      <c r="V93" s="173"/>
      <c r="W93" s="173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70.5" customHeight="1" x14ac:dyDescent="0.85">
      <c r="A94" s="174"/>
      <c r="B94" s="174"/>
      <c r="C94" s="174"/>
      <c r="D94" s="12" t="s">
        <v>129</v>
      </c>
      <c r="E94" s="12" t="s">
        <v>107</v>
      </c>
      <c r="F94" s="12">
        <v>2</v>
      </c>
      <c r="G94" s="12"/>
      <c r="H94" s="13"/>
      <c r="I94" s="13"/>
      <c r="J94" s="13"/>
      <c r="K94" s="13"/>
      <c r="L94" s="13">
        <f t="shared" si="2"/>
        <v>2</v>
      </c>
      <c r="M94" s="174"/>
      <c r="N94" s="174"/>
      <c r="O94" s="11"/>
      <c r="P94" s="15"/>
      <c r="Q94" s="15"/>
      <c r="R94" s="174"/>
      <c r="S94" s="15"/>
      <c r="T94" s="15"/>
      <c r="U94" s="11"/>
      <c r="V94" s="174"/>
      <c r="W94" s="174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95.25" customHeight="1" x14ac:dyDescent="0.85">
      <c r="A95" s="185">
        <v>20</v>
      </c>
      <c r="B95" s="179" t="s">
        <v>79</v>
      </c>
      <c r="C95" s="181" t="s">
        <v>56</v>
      </c>
      <c r="D95" s="9" t="s">
        <v>51</v>
      </c>
      <c r="E95" s="14" t="s">
        <v>144</v>
      </c>
      <c r="F95" s="9">
        <v>2</v>
      </c>
      <c r="G95" s="9"/>
      <c r="H95" s="9">
        <v>2</v>
      </c>
      <c r="I95" s="9">
        <v>2</v>
      </c>
      <c r="J95" s="9">
        <v>2</v>
      </c>
      <c r="K95" s="9">
        <v>2</v>
      </c>
      <c r="L95" s="9">
        <f t="shared" si="2"/>
        <v>10</v>
      </c>
      <c r="M95" s="178">
        <f>SUM(L95:L99)</f>
        <v>20</v>
      </c>
      <c r="N95" s="178" t="s">
        <v>24</v>
      </c>
      <c r="O95" s="9"/>
      <c r="P95" s="9"/>
      <c r="Q95" s="9"/>
      <c r="R95" s="177">
        <v>2</v>
      </c>
      <c r="S95" s="9" t="s">
        <v>25</v>
      </c>
      <c r="T95" s="9" t="s">
        <v>25</v>
      </c>
      <c r="U95" s="9" t="s">
        <v>39</v>
      </c>
      <c r="V95" s="178" t="s">
        <v>80</v>
      </c>
      <c r="W95" s="17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70.5" customHeight="1" x14ac:dyDescent="0.85">
      <c r="A96" s="173"/>
      <c r="B96" s="173"/>
      <c r="C96" s="173"/>
      <c r="D96" s="16" t="s">
        <v>35</v>
      </c>
      <c r="E96" s="16" t="s">
        <v>145</v>
      </c>
      <c r="F96" s="15">
        <v>2</v>
      </c>
      <c r="G96" s="10"/>
      <c r="H96" s="9"/>
      <c r="I96" s="9"/>
      <c r="J96" s="9"/>
      <c r="K96" s="9">
        <v>2</v>
      </c>
      <c r="L96" s="9">
        <f t="shared" si="2"/>
        <v>4</v>
      </c>
      <c r="M96" s="173"/>
      <c r="N96" s="173"/>
      <c r="O96" s="11"/>
      <c r="P96" s="15"/>
      <c r="Q96" s="15"/>
      <c r="R96" s="173"/>
      <c r="S96" s="15"/>
      <c r="T96" s="15"/>
      <c r="U96" s="11"/>
      <c r="V96" s="173"/>
      <c r="W96" s="173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70.5" customHeight="1" x14ac:dyDescent="0.85">
      <c r="A97" s="173"/>
      <c r="B97" s="173"/>
      <c r="C97" s="173"/>
      <c r="D97" s="16" t="s">
        <v>46</v>
      </c>
      <c r="E97" s="16" t="s">
        <v>124</v>
      </c>
      <c r="F97" s="10"/>
      <c r="G97" s="10"/>
      <c r="H97" s="9"/>
      <c r="I97" s="9"/>
      <c r="J97" s="9"/>
      <c r="K97" s="9">
        <v>2</v>
      </c>
      <c r="L97" s="9">
        <f t="shared" si="2"/>
        <v>2</v>
      </c>
      <c r="M97" s="173"/>
      <c r="N97" s="173"/>
      <c r="O97" s="11"/>
      <c r="P97" s="15"/>
      <c r="Q97" s="15"/>
      <c r="R97" s="173"/>
      <c r="S97" s="15"/>
      <c r="T97" s="15"/>
      <c r="U97" s="11"/>
      <c r="V97" s="173"/>
      <c r="W97" s="173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70.5" customHeight="1" x14ac:dyDescent="0.85">
      <c r="A98" s="173"/>
      <c r="B98" s="173"/>
      <c r="C98" s="173"/>
      <c r="D98" s="16" t="s">
        <v>51</v>
      </c>
      <c r="E98" s="16" t="s">
        <v>36</v>
      </c>
      <c r="F98" s="10"/>
      <c r="G98" s="10">
        <v>2</v>
      </c>
      <c r="H98" s="9"/>
      <c r="I98" s="9"/>
      <c r="J98" s="9"/>
      <c r="K98" s="9"/>
      <c r="L98" s="9">
        <f t="shared" si="2"/>
        <v>2</v>
      </c>
      <c r="M98" s="173"/>
      <c r="N98" s="173"/>
      <c r="O98" s="11"/>
      <c r="P98" s="15">
        <v>0</v>
      </c>
      <c r="Q98" s="15">
        <v>8</v>
      </c>
      <c r="R98" s="173"/>
      <c r="S98" s="15"/>
      <c r="T98" s="15"/>
      <c r="U98" s="11"/>
      <c r="V98" s="173"/>
      <c r="W98" s="173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70.5" customHeight="1" x14ac:dyDescent="0.85">
      <c r="A99" s="174"/>
      <c r="B99" s="174"/>
      <c r="C99" s="174"/>
      <c r="D99" s="12" t="s">
        <v>129</v>
      </c>
      <c r="E99" s="12" t="s">
        <v>107</v>
      </c>
      <c r="F99" s="12">
        <v>2</v>
      </c>
      <c r="G99" s="12"/>
      <c r="H99" s="13"/>
      <c r="I99" s="13"/>
      <c r="J99" s="13"/>
      <c r="K99" s="13"/>
      <c r="L99" s="13">
        <f t="shared" si="2"/>
        <v>2</v>
      </c>
      <c r="M99" s="174"/>
      <c r="N99" s="174"/>
      <c r="O99" s="11"/>
      <c r="P99" s="15"/>
      <c r="Q99" s="15"/>
      <c r="R99" s="174"/>
      <c r="S99" s="15"/>
      <c r="T99" s="15"/>
      <c r="U99" s="11"/>
      <c r="V99" s="174"/>
      <c r="W99" s="174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70.5" customHeight="1" x14ac:dyDescent="0.85">
      <c r="A100" s="185">
        <v>21</v>
      </c>
      <c r="B100" s="183" t="s">
        <v>81</v>
      </c>
      <c r="C100" s="181" t="s">
        <v>56</v>
      </c>
      <c r="D100" s="9" t="s">
        <v>54</v>
      </c>
      <c r="E100" s="9" t="s">
        <v>121</v>
      </c>
      <c r="F100" s="9">
        <v>3</v>
      </c>
      <c r="G100" s="9"/>
      <c r="H100" s="28"/>
      <c r="I100" s="9"/>
      <c r="J100" s="9">
        <v>2</v>
      </c>
      <c r="K100" s="9">
        <v>2</v>
      </c>
      <c r="L100" s="9">
        <f t="shared" si="2"/>
        <v>7</v>
      </c>
      <c r="M100" s="178">
        <f>SUM(L100:L104)</f>
        <v>20</v>
      </c>
      <c r="N100" s="178" t="s">
        <v>24</v>
      </c>
      <c r="O100" s="9"/>
      <c r="P100" s="9"/>
      <c r="Q100" s="9"/>
      <c r="R100" s="177">
        <v>2</v>
      </c>
      <c r="S100" s="9" t="s">
        <v>25</v>
      </c>
      <c r="T100" s="9" t="s">
        <v>25</v>
      </c>
      <c r="U100" s="9" t="s">
        <v>39</v>
      </c>
      <c r="V100" s="172" t="s">
        <v>78</v>
      </c>
      <c r="W100" s="17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70.5" customHeight="1" x14ac:dyDescent="0.85">
      <c r="A101" s="173"/>
      <c r="B101" s="173"/>
      <c r="C101" s="173"/>
      <c r="D101" s="9" t="s">
        <v>51</v>
      </c>
      <c r="E101" s="10" t="s">
        <v>121</v>
      </c>
      <c r="F101" s="14">
        <v>3</v>
      </c>
      <c r="G101" s="14"/>
      <c r="H101" s="14">
        <v>2</v>
      </c>
      <c r="I101" s="43">
        <v>2</v>
      </c>
      <c r="J101" s="14">
        <v>2</v>
      </c>
      <c r="K101" s="14"/>
      <c r="L101" s="9">
        <f t="shared" si="2"/>
        <v>9</v>
      </c>
      <c r="M101" s="173"/>
      <c r="N101" s="173"/>
      <c r="O101" s="11"/>
      <c r="P101" s="15"/>
      <c r="Q101" s="15"/>
      <c r="R101" s="173"/>
      <c r="S101" s="15"/>
      <c r="T101" s="15"/>
      <c r="U101" s="11"/>
      <c r="V101" s="173"/>
      <c r="W101" s="17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70.5" customHeight="1" x14ac:dyDescent="0.85">
      <c r="A102" s="173"/>
      <c r="B102" s="173"/>
      <c r="C102" s="173"/>
      <c r="D102" s="28"/>
      <c r="E102" s="28"/>
      <c r="F102" s="42"/>
      <c r="G102" s="42"/>
      <c r="H102" s="28"/>
      <c r="I102" s="28"/>
      <c r="J102" s="28"/>
      <c r="K102" s="28"/>
      <c r="L102" s="9">
        <f t="shared" si="2"/>
        <v>0</v>
      </c>
      <c r="M102" s="173"/>
      <c r="N102" s="173"/>
      <c r="O102" s="11"/>
      <c r="P102" s="15">
        <v>0</v>
      </c>
      <c r="Q102" s="15">
        <v>0</v>
      </c>
      <c r="R102" s="173"/>
      <c r="S102" s="15"/>
      <c r="T102" s="15"/>
      <c r="U102" s="11"/>
      <c r="V102" s="173"/>
      <c r="W102" s="173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70.5" customHeight="1" x14ac:dyDescent="0.85">
      <c r="A103" s="173"/>
      <c r="B103" s="173"/>
      <c r="C103" s="173"/>
      <c r="D103" s="16" t="s">
        <v>35</v>
      </c>
      <c r="E103" s="16" t="s">
        <v>121</v>
      </c>
      <c r="F103" s="16"/>
      <c r="G103" s="16"/>
      <c r="H103" s="9"/>
      <c r="I103" s="28">
        <v>2</v>
      </c>
      <c r="J103" s="9"/>
      <c r="K103" s="9"/>
      <c r="L103" s="9">
        <f t="shared" si="2"/>
        <v>2</v>
      </c>
      <c r="M103" s="173"/>
      <c r="N103" s="173"/>
      <c r="O103" s="11"/>
      <c r="P103" s="15"/>
      <c r="Q103" s="15"/>
      <c r="R103" s="173"/>
      <c r="S103" s="15"/>
      <c r="T103" s="15"/>
      <c r="U103" s="11"/>
      <c r="V103" s="173"/>
      <c r="W103" s="17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70.5" customHeight="1" x14ac:dyDescent="0.85">
      <c r="A104" s="174"/>
      <c r="B104" s="174"/>
      <c r="C104" s="174"/>
      <c r="D104" s="12" t="s">
        <v>129</v>
      </c>
      <c r="E104" s="12" t="s">
        <v>107</v>
      </c>
      <c r="F104" s="12">
        <v>2</v>
      </c>
      <c r="G104" s="12"/>
      <c r="H104" s="13"/>
      <c r="I104" s="13"/>
      <c r="J104" s="13"/>
      <c r="K104" s="13"/>
      <c r="L104" s="13">
        <f t="shared" si="2"/>
        <v>2</v>
      </c>
      <c r="M104" s="174"/>
      <c r="N104" s="174"/>
      <c r="O104" s="11"/>
      <c r="P104" s="15"/>
      <c r="Q104" s="15"/>
      <c r="R104" s="174"/>
      <c r="S104" s="15"/>
      <c r="T104" s="15"/>
      <c r="U104" s="11"/>
      <c r="V104" s="174"/>
      <c r="W104" s="174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70.5" customHeight="1" x14ac:dyDescent="0.85">
      <c r="A105" s="182">
        <v>22</v>
      </c>
      <c r="B105" s="179" t="s">
        <v>146</v>
      </c>
      <c r="C105" s="181" t="s">
        <v>56</v>
      </c>
      <c r="D105" s="9" t="s">
        <v>35</v>
      </c>
      <c r="E105" s="9" t="s">
        <v>147</v>
      </c>
      <c r="F105" s="10">
        <v>3</v>
      </c>
      <c r="G105" s="10"/>
      <c r="H105" s="9">
        <v>2</v>
      </c>
      <c r="I105" s="9">
        <v>2</v>
      </c>
      <c r="J105" s="9">
        <v>2</v>
      </c>
      <c r="K105" s="9">
        <v>2</v>
      </c>
      <c r="L105" s="9">
        <f t="shared" si="2"/>
        <v>11</v>
      </c>
      <c r="M105" s="185">
        <f>SUM(L105:L109)</f>
        <v>22</v>
      </c>
      <c r="N105" s="9" t="s">
        <v>24</v>
      </c>
      <c r="O105" s="15"/>
      <c r="P105" s="15">
        <v>0</v>
      </c>
      <c r="Q105" s="15">
        <v>8</v>
      </c>
      <c r="R105" s="177">
        <v>2</v>
      </c>
      <c r="S105" s="9" t="s">
        <v>25</v>
      </c>
      <c r="T105" s="15" t="s">
        <v>25</v>
      </c>
      <c r="U105" s="9" t="s">
        <v>39</v>
      </c>
      <c r="V105" s="172" t="s">
        <v>148</v>
      </c>
      <c r="W105" s="178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70.5" customHeight="1" x14ac:dyDescent="0.85">
      <c r="A106" s="173"/>
      <c r="B106" s="173"/>
      <c r="C106" s="173"/>
      <c r="D106" s="9" t="s">
        <v>51</v>
      </c>
      <c r="E106" s="10" t="s">
        <v>147</v>
      </c>
      <c r="F106" s="10"/>
      <c r="G106" s="10"/>
      <c r="H106" s="9"/>
      <c r="I106" s="9">
        <v>2</v>
      </c>
      <c r="J106" s="9"/>
      <c r="K106" s="9">
        <v>2</v>
      </c>
      <c r="L106" s="9">
        <f t="shared" si="2"/>
        <v>4</v>
      </c>
      <c r="M106" s="173"/>
      <c r="N106" s="11"/>
      <c r="O106" s="11"/>
      <c r="P106" s="15"/>
      <c r="Q106" s="15"/>
      <c r="R106" s="173"/>
      <c r="S106" s="15"/>
      <c r="T106" s="15"/>
      <c r="U106" s="11"/>
      <c r="V106" s="173"/>
      <c r="W106" s="173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70.5" customHeight="1" x14ac:dyDescent="0.85">
      <c r="A107" s="173"/>
      <c r="B107" s="173"/>
      <c r="C107" s="173"/>
      <c r="D107" s="9" t="s">
        <v>117</v>
      </c>
      <c r="E107" s="9" t="s">
        <v>106</v>
      </c>
      <c r="F107" s="9"/>
      <c r="G107" s="9"/>
      <c r="H107" s="9"/>
      <c r="I107" s="9"/>
      <c r="J107" s="9"/>
      <c r="K107" s="9">
        <v>2</v>
      </c>
      <c r="L107" s="9">
        <f t="shared" si="2"/>
        <v>2</v>
      </c>
      <c r="M107" s="173"/>
      <c r="N107" s="11"/>
      <c r="O107" s="11"/>
      <c r="P107" s="15"/>
      <c r="Q107" s="15"/>
      <c r="R107" s="173"/>
      <c r="S107" s="15"/>
      <c r="T107" s="15"/>
      <c r="U107" s="11"/>
      <c r="V107" s="173"/>
      <c r="W107" s="173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70.5" customHeight="1" x14ac:dyDescent="0.85">
      <c r="A108" s="173"/>
      <c r="B108" s="173"/>
      <c r="C108" s="173"/>
      <c r="D108" s="16" t="s">
        <v>35</v>
      </c>
      <c r="E108" s="16" t="s">
        <v>36</v>
      </c>
      <c r="F108" s="16"/>
      <c r="G108" s="16">
        <v>2</v>
      </c>
      <c r="H108" s="9"/>
      <c r="I108" s="9"/>
      <c r="J108" s="9"/>
      <c r="K108" s="9"/>
      <c r="L108" s="9">
        <f t="shared" si="2"/>
        <v>2</v>
      </c>
      <c r="M108" s="173"/>
      <c r="N108" s="11"/>
      <c r="O108" s="11"/>
      <c r="P108" s="15"/>
      <c r="Q108" s="15"/>
      <c r="R108" s="173"/>
      <c r="S108" s="15"/>
      <c r="T108" s="15"/>
      <c r="U108" s="11"/>
      <c r="V108" s="173"/>
      <c r="W108" s="173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70.5" customHeight="1" x14ac:dyDescent="0.85">
      <c r="A109" s="174"/>
      <c r="B109" s="174"/>
      <c r="C109" s="174"/>
      <c r="D109" s="12" t="s">
        <v>129</v>
      </c>
      <c r="E109" s="12" t="s">
        <v>107</v>
      </c>
      <c r="F109" s="12">
        <v>3</v>
      </c>
      <c r="G109" s="12"/>
      <c r="H109" s="13"/>
      <c r="I109" s="13"/>
      <c r="J109" s="13"/>
      <c r="K109" s="13"/>
      <c r="L109" s="13">
        <f t="shared" si="2"/>
        <v>3</v>
      </c>
      <c r="M109" s="174"/>
      <c r="N109" s="11"/>
      <c r="O109" s="11"/>
      <c r="P109" s="15"/>
      <c r="Q109" s="15"/>
      <c r="R109" s="174"/>
      <c r="S109" s="15"/>
      <c r="T109" s="15"/>
      <c r="U109" s="11"/>
      <c r="V109" s="174"/>
      <c r="W109" s="174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70.5" customHeight="1" x14ac:dyDescent="0.85">
      <c r="A110" s="182">
        <v>23</v>
      </c>
      <c r="B110" s="183" t="s">
        <v>86</v>
      </c>
      <c r="C110" s="181" t="s">
        <v>56</v>
      </c>
      <c r="D110" s="9" t="s">
        <v>117</v>
      </c>
      <c r="E110" s="9" t="s">
        <v>123</v>
      </c>
      <c r="F110" s="10">
        <v>3</v>
      </c>
      <c r="G110" s="10"/>
      <c r="H110" s="9">
        <v>2</v>
      </c>
      <c r="I110" s="9"/>
      <c r="J110" s="9"/>
      <c r="K110" s="9"/>
      <c r="L110" s="9">
        <f t="shared" si="2"/>
        <v>5</v>
      </c>
      <c r="M110" s="185">
        <f>SUM(L110:L115)</f>
        <v>19</v>
      </c>
      <c r="N110" s="9" t="s">
        <v>24</v>
      </c>
      <c r="O110" s="15"/>
      <c r="P110" s="15">
        <v>0</v>
      </c>
      <c r="Q110" s="15">
        <v>0</v>
      </c>
      <c r="R110" s="177">
        <v>2</v>
      </c>
      <c r="S110" s="9" t="s">
        <v>25</v>
      </c>
      <c r="T110" s="15" t="s">
        <v>25</v>
      </c>
      <c r="U110" s="9" t="s">
        <v>39</v>
      </c>
      <c r="V110" s="172" t="s">
        <v>87</v>
      </c>
      <c r="W110" s="17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70.5" customHeight="1" x14ac:dyDescent="0.85">
      <c r="A111" s="173"/>
      <c r="B111" s="173"/>
      <c r="C111" s="173"/>
      <c r="D111" s="9" t="s">
        <v>58</v>
      </c>
      <c r="E111" s="9" t="s">
        <v>123</v>
      </c>
      <c r="F111" s="10"/>
      <c r="G111" s="10"/>
      <c r="H111" s="9"/>
      <c r="I111" s="27">
        <v>2</v>
      </c>
      <c r="J111" s="9"/>
      <c r="K111" s="27">
        <v>2</v>
      </c>
      <c r="L111" s="9">
        <f t="shared" si="2"/>
        <v>4</v>
      </c>
      <c r="M111" s="173"/>
      <c r="N111" s="11"/>
      <c r="O111" s="11"/>
      <c r="P111" s="15"/>
      <c r="Q111" s="15"/>
      <c r="R111" s="173"/>
      <c r="S111" s="15"/>
      <c r="T111" s="15"/>
      <c r="U111" s="11"/>
      <c r="V111" s="173"/>
      <c r="W111" s="173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70.5" customHeight="1" x14ac:dyDescent="0.85">
      <c r="A112" s="173"/>
      <c r="B112" s="173"/>
      <c r="C112" s="173"/>
      <c r="D112" s="9" t="s">
        <v>35</v>
      </c>
      <c r="E112" s="9" t="s">
        <v>121</v>
      </c>
      <c r="F112" s="10"/>
      <c r="G112" s="10"/>
      <c r="H112" s="9">
        <v>2</v>
      </c>
      <c r="I112" s="9"/>
      <c r="J112" s="9"/>
      <c r="K112" s="9">
        <v>2</v>
      </c>
      <c r="L112" s="9">
        <f t="shared" si="2"/>
        <v>4</v>
      </c>
      <c r="M112" s="173"/>
      <c r="N112" s="11"/>
      <c r="O112" s="11"/>
      <c r="P112" s="15"/>
      <c r="Q112" s="15"/>
      <c r="R112" s="173"/>
      <c r="S112" s="15"/>
      <c r="T112" s="15"/>
      <c r="U112" s="11"/>
      <c r="V112" s="173"/>
      <c r="W112" s="17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70.5" customHeight="1" x14ac:dyDescent="0.85">
      <c r="A113" s="173"/>
      <c r="B113" s="173"/>
      <c r="C113" s="173"/>
      <c r="D113" s="16" t="s">
        <v>149</v>
      </c>
      <c r="E113" s="16" t="s">
        <v>121</v>
      </c>
      <c r="F113" s="18"/>
      <c r="G113" s="16"/>
      <c r="H113" s="27">
        <v>2</v>
      </c>
      <c r="I113" s="28">
        <v>2</v>
      </c>
      <c r="J113" s="9"/>
      <c r="K113" s="9"/>
      <c r="L113" s="9">
        <f t="shared" si="2"/>
        <v>4</v>
      </c>
      <c r="M113" s="173"/>
      <c r="N113" s="11"/>
      <c r="O113" s="11"/>
      <c r="P113" s="15"/>
      <c r="Q113" s="15"/>
      <c r="R113" s="173"/>
      <c r="S113" s="15"/>
      <c r="T113" s="15"/>
      <c r="U113" s="11"/>
      <c r="V113" s="173"/>
      <c r="W113" s="173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70.5" customHeight="1" x14ac:dyDescent="0.85">
      <c r="A114" s="173"/>
      <c r="B114" s="173"/>
      <c r="C114" s="173"/>
      <c r="D114" s="16"/>
      <c r="E114" s="16"/>
      <c r="F114" s="18"/>
      <c r="G114" s="16"/>
      <c r="H114" s="9"/>
      <c r="I114" s="9"/>
      <c r="J114" s="9"/>
      <c r="K114" s="9"/>
      <c r="L114" s="9"/>
      <c r="M114" s="173"/>
      <c r="N114" s="11"/>
      <c r="O114" s="11"/>
      <c r="P114" s="15"/>
      <c r="Q114" s="15"/>
      <c r="R114" s="173"/>
      <c r="S114" s="15"/>
      <c r="T114" s="15"/>
      <c r="U114" s="11"/>
      <c r="V114" s="173"/>
      <c r="W114" s="173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70.5" customHeight="1" x14ac:dyDescent="0.85">
      <c r="A115" s="174"/>
      <c r="B115" s="174"/>
      <c r="C115" s="174"/>
      <c r="D115" s="12" t="s">
        <v>58</v>
      </c>
      <c r="E115" s="12" t="s">
        <v>107</v>
      </c>
      <c r="F115" s="12"/>
      <c r="G115" s="12">
        <v>2</v>
      </c>
      <c r="H115" s="13"/>
      <c r="I115" s="13"/>
      <c r="J115" s="13"/>
      <c r="K115" s="13"/>
      <c r="L115" s="13">
        <f t="shared" ref="L115:L128" si="3">SUM(F115:K115)</f>
        <v>2</v>
      </c>
      <c r="M115" s="174"/>
      <c r="N115" s="11"/>
      <c r="O115" s="11"/>
      <c r="P115" s="15"/>
      <c r="Q115" s="15"/>
      <c r="R115" s="174"/>
      <c r="S115" s="15"/>
      <c r="T115" s="15"/>
      <c r="U115" s="11"/>
      <c r="V115" s="174"/>
      <c r="W115" s="174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70.5" customHeight="1" x14ac:dyDescent="0.85">
      <c r="A116" s="182">
        <v>24</v>
      </c>
      <c r="B116" s="183" t="s">
        <v>82</v>
      </c>
      <c r="C116" s="181" t="s">
        <v>56</v>
      </c>
      <c r="D116" s="9" t="s">
        <v>149</v>
      </c>
      <c r="E116" s="9" t="s">
        <v>147</v>
      </c>
      <c r="F116" s="9">
        <v>3</v>
      </c>
      <c r="G116" s="9"/>
      <c r="H116" s="9">
        <v>2</v>
      </c>
      <c r="I116" s="9">
        <v>2</v>
      </c>
      <c r="J116" s="9">
        <v>2</v>
      </c>
      <c r="K116" s="9">
        <v>2</v>
      </c>
      <c r="L116" s="9">
        <f t="shared" si="3"/>
        <v>11</v>
      </c>
      <c r="M116" s="178">
        <f>SUM(L116:L119)</f>
        <v>20</v>
      </c>
      <c r="N116" s="9" t="s">
        <v>24</v>
      </c>
      <c r="O116" s="9"/>
      <c r="P116" s="9">
        <v>0</v>
      </c>
      <c r="Q116" s="9">
        <v>0</v>
      </c>
      <c r="R116" s="177">
        <v>2</v>
      </c>
      <c r="S116" s="9" t="s">
        <v>25</v>
      </c>
      <c r="T116" s="9" t="s">
        <v>25</v>
      </c>
      <c r="U116" s="9" t="s">
        <v>39</v>
      </c>
      <c r="V116" s="184" t="s">
        <v>83</v>
      </c>
      <c r="W116" s="175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70.5" customHeight="1" x14ac:dyDescent="0.85">
      <c r="A117" s="173"/>
      <c r="B117" s="173"/>
      <c r="C117" s="173"/>
      <c r="D117" s="9" t="s">
        <v>51</v>
      </c>
      <c r="E117" s="9" t="s">
        <v>147</v>
      </c>
      <c r="F117" s="9">
        <v>3</v>
      </c>
      <c r="G117" s="9"/>
      <c r="H117" s="9">
        <v>2</v>
      </c>
      <c r="I117" s="9"/>
      <c r="J117" s="27">
        <v>2</v>
      </c>
      <c r="K117" s="9"/>
      <c r="L117" s="9">
        <f t="shared" si="3"/>
        <v>7</v>
      </c>
      <c r="M117" s="173"/>
      <c r="N117" s="11"/>
      <c r="O117" s="11"/>
      <c r="P117" s="15"/>
      <c r="Q117" s="15"/>
      <c r="R117" s="173"/>
      <c r="S117" s="15"/>
      <c r="T117" s="15"/>
      <c r="U117" s="11"/>
      <c r="V117" s="173"/>
      <c r="W117" s="173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70.5" customHeight="1" x14ac:dyDescent="0.85">
      <c r="A118" s="173"/>
      <c r="B118" s="173"/>
      <c r="C118" s="173"/>
      <c r="D118" s="28"/>
      <c r="E118" s="28"/>
      <c r="F118" s="42"/>
      <c r="G118" s="42"/>
      <c r="H118" s="28"/>
      <c r="I118" s="28"/>
      <c r="J118" s="5"/>
      <c r="K118" s="28"/>
      <c r="L118" s="9">
        <f t="shared" si="3"/>
        <v>0</v>
      </c>
      <c r="M118" s="173"/>
      <c r="N118" s="11"/>
      <c r="O118" s="11"/>
      <c r="P118" s="15"/>
      <c r="Q118" s="15"/>
      <c r="R118" s="173"/>
      <c r="S118" s="15"/>
      <c r="T118" s="15"/>
      <c r="U118" s="11"/>
      <c r="V118" s="173"/>
      <c r="W118" s="173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70.5" customHeight="1" x14ac:dyDescent="0.85">
      <c r="A119" s="174"/>
      <c r="B119" s="174"/>
      <c r="C119" s="174"/>
      <c r="D119" s="12" t="s">
        <v>129</v>
      </c>
      <c r="E119" s="12" t="s">
        <v>107</v>
      </c>
      <c r="F119" s="12">
        <v>2</v>
      </c>
      <c r="G119" s="12"/>
      <c r="H119" s="13"/>
      <c r="I119" s="13"/>
      <c r="J119" s="13"/>
      <c r="K119" s="13"/>
      <c r="L119" s="13">
        <f t="shared" si="3"/>
        <v>2</v>
      </c>
      <c r="M119" s="174"/>
      <c r="N119" s="11"/>
      <c r="O119" s="11"/>
      <c r="P119" s="15"/>
      <c r="Q119" s="15"/>
      <c r="R119" s="174"/>
      <c r="S119" s="15"/>
      <c r="T119" s="15"/>
      <c r="U119" s="11"/>
      <c r="V119" s="174"/>
      <c r="W119" s="174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70.5" customHeight="1" x14ac:dyDescent="0.85">
      <c r="A120" s="182">
        <v>25</v>
      </c>
      <c r="B120" s="176" t="s">
        <v>84</v>
      </c>
      <c r="C120" s="181" t="s">
        <v>56</v>
      </c>
      <c r="D120" s="9" t="s">
        <v>35</v>
      </c>
      <c r="E120" s="9" t="s">
        <v>145</v>
      </c>
      <c r="F120" s="9"/>
      <c r="G120" s="18"/>
      <c r="H120" s="18">
        <v>2</v>
      </c>
      <c r="I120" s="18">
        <v>2</v>
      </c>
      <c r="J120" s="18">
        <v>2</v>
      </c>
      <c r="K120" s="18"/>
      <c r="L120" s="9">
        <f t="shared" si="3"/>
        <v>6</v>
      </c>
      <c r="M120" s="178">
        <f>SUM(L120:L126)</f>
        <v>20</v>
      </c>
      <c r="N120" s="9" t="s">
        <v>24</v>
      </c>
      <c r="O120" s="9"/>
      <c r="P120" s="9">
        <v>8</v>
      </c>
      <c r="Q120" s="9">
        <v>8</v>
      </c>
      <c r="R120" s="177">
        <v>2</v>
      </c>
      <c r="S120" s="9" t="s">
        <v>25</v>
      </c>
      <c r="T120" s="9" t="s">
        <v>25</v>
      </c>
      <c r="U120" s="9" t="s">
        <v>39</v>
      </c>
      <c r="V120" s="178" t="s">
        <v>85</v>
      </c>
      <c r="W120" s="175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70.5" customHeight="1" x14ac:dyDescent="0.85">
      <c r="A121" s="173"/>
      <c r="B121" s="173"/>
      <c r="C121" s="173"/>
      <c r="D121" s="28" t="s">
        <v>35</v>
      </c>
      <c r="E121" s="31" t="s">
        <v>143</v>
      </c>
      <c r="F121" s="28">
        <v>3</v>
      </c>
      <c r="G121" s="9"/>
      <c r="H121" s="9"/>
      <c r="I121" s="9"/>
      <c r="J121" s="9"/>
      <c r="K121" s="9"/>
      <c r="L121" s="9">
        <f t="shared" si="3"/>
        <v>3</v>
      </c>
      <c r="M121" s="173"/>
      <c r="N121" s="11"/>
      <c r="O121" s="11"/>
      <c r="P121" s="15"/>
      <c r="Q121" s="15"/>
      <c r="R121" s="173"/>
      <c r="S121" s="15"/>
      <c r="T121" s="15"/>
      <c r="U121" s="11"/>
      <c r="V121" s="173"/>
      <c r="W121" s="173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70.5" customHeight="1" x14ac:dyDescent="0.85">
      <c r="A122" s="173"/>
      <c r="B122" s="173"/>
      <c r="C122" s="173"/>
      <c r="D122" s="28" t="s">
        <v>54</v>
      </c>
      <c r="E122" s="31" t="s">
        <v>143</v>
      </c>
      <c r="F122" s="27">
        <v>3</v>
      </c>
      <c r="G122" s="28"/>
      <c r="H122" s="28"/>
      <c r="I122" s="44"/>
      <c r="J122" s="44"/>
      <c r="K122" s="28"/>
      <c r="L122" s="9">
        <f t="shared" si="3"/>
        <v>3</v>
      </c>
      <c r="M122" s="173"/>
      <c r="N122" s="11"/>
      <c r="O122" s="11"/>
      <c r="P122" s="15"/>
      <c r="Q122" s="15"/>
      <c r="R122" s="173"/>
      <c r="S122" s="15"/>
      <c r="T122" s="15"/>
      <c r="U122" s="11"/>
      <c r="V122" s="173"/>
      <c r="W122" s="173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70.5" customHeight="1" x14ac:dyDescent="0.85">
      <c r="A123" s="173"/>
      <c r="B123" s="173"/>
      <c r="C123" s="173"/>
      <c r="D123" s="9" t="s">
        <v>51</v>
      </c>
      <c r="E123" s="9" t="s">
        <v>121</v>
      </c>
      <c r="F123" s="9"/>
      <c r="G123" s="9"/>
      <c r="H123" s="9"/>
      <c r="I123" s="9"/>
      <c r="J123" s="9"/>
      <c r="K123" s="9">
        <v>2</v>
      </c>
      <c r="L123" s="9">
        <f t="shared" si="3"/>
        <v>2</v>
      </c>
      <c r="M123" s="173"/>
      <c r="N123" s="11"/>
      <c r="O123" s="11"/>
      <c r="P123" s="15"/>
      <c r="Q123" s="15"/>
      <c r="R123" s="173"/>
      <c r="S123" s="15"/>
      <c r="T123" s="15"/>
      <c r="U123" s="11"/>
      <c r="V123" s="173"/>
      <c r="W123" s="173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70.5" customHeight="1" x14ac:dyDescent="0.85">
      <c r="A124" s="173"/>
      <c r="B124" s="173"/>
      <c r="C124" s="173"/>
      <c r="D124" s="14" t="s">
        <v>64</v>
      </c>
      <c r="E124" s="14" t="s">
        <v>36</v>
      </c>
      <c r="F124" s="9"/>
      <c r="G124" s="9">
        <v>2</v>
      </c>
      <c r="H124" s="9"/>
      <c r="I124" s="9"/>
      <c r="J124" s="9"/>
      <c r="K124" s="9"/>
      <c r="L124" s="9">
        <f t="shared" si="3"/>
        <v>2</v>
      </c>
      <c r="M124" s="173"/>
      <c r="N124" s="11"/>
      <c r="O124" s="11"/>
      <c r="P124" s="15"/>
      <c r="Q124" s="15"/>
      <c r="R124" s="173"/>
      <c r="S124" s="15"/>
      <c r="T124" s="15"/>
      <c r="U124" s="11"/>
      <c r="V124" s="173"/>
      <c r="W124" s="17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70.5" customHeight="1" x14ac:dyDescent="0.85">
      <c r="A125" s="173"/>
      <c r="B125" s="173"/>
      <c r="C125" s="173"/>
      <c r="D125" s="9" t="s">
        <v>35</v>
      </c>
      <c r="E125" s="9" t="s">
        <v>36</v>
      </c>
      <c r="F125" s="9"/>
      <c r="G125" s="9">
        <v>2</v>
      </c>
      <c r="H125" s="9"/>
      <c r="I125" s="9"/>
      <c r="J125" s="14"/>
      <c r="K125" s="14"/>
      <c r="L125" s="9">
        <f t="shared" si="3"/>
        <v>2</v>
      </c>
      <c r="M125" s="173"/>
      <c r="N125" s="11"/>
      <c r="O125" s="11"/>
      <c r="P125" s="15"/>
      <c r="Q125" s="15"/>
      <c r="R125" s="173"/>
      <c r="S125" s="15"/>
      <c r="T125" s="15"/>
      <c r="U125" s="11"/>
      <c r="V125" s="173"/>
      <c r="W125" s="173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70.5" customHeight="1" x14ac:dyDescent="0.85">
      <c r="A126" s="174"/>
      <c r="B126" s="174"/>
      <c r="C126" s="174"/>
      <c r="D126" s="12" t="s">
        <v>129</v>
      </c>
      <c r="E126" s="12" t="s">
        <v>107</v>
      </c>
      <c r="F126" s="12">
        <v>2</v>
      </c>
      <c r="G126" s="12"/>
      <c r="H126" s="13"/>
      <c r="I126" s="13"/>
      <c r="J126" s="13"/>
      <c r="K126" s="13"/>
      <c r="L126" s="13">
        <f t="shared" si="3"/>
        <v>2</v>
      </c>
      <c r="M126" s="174"/>
      <c r="N126" s="11"/>
      <c r="O126" s="11"/>
      <c r="P126" s="15"/>
      <c r="Q126" s="15"/>
      <c r="R126" s="174"/>
      <c r="S126" s="15"/>
      <c r="T126" s="15"/>
      <c r="U126" s="11"/>
      <c r="V126" s="174"/>
      <c r="W126" s="174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70.5" customHeight="1" x14ac:dyDescent="0.85">
      <c r="A127" s="182">
        <v>26</v>
      </c>
      <c r="B127" s="179" t="s">
        <v>150</v>
      </c>
      <c r="C127" s="181" t="s">
        <v>56</v>
      </c>
      <c r="D127" s="9" t="s">
        <v>35</v>
      </c>
      <c r="E127" s="9" t="s">
        <v>108</v>
      </c>
      <c r="F127" s="9"/>
      <c r="G127" s="9"/>
      <c r="H127" s="9"/>
      <c r="I127" s="11">
        <v>2</v>
      </c>
      <c r="J127" s="11"/>
      <c r="K127" s="11"/>
      <c r="L127" s="9">
        <f t="shared" si="3"/>
        <v>2</v>
      </c>
      <c r="M127" s="178">
        <f>SUM(L127:L133)</f>
        <v>17</v>
      </c>
      <c r="N127" s="9" t="s">
        <v>24</v>
      </c>
      <c r="O127" s="9"/>
      <c r="P127" s="9">
        <v>0</v>
      </c>
      <c r="Q127" s="9">
        <v>0</v>
      </c>
      <c r="R127" s="177">
        <v>2</v>
      </c>
      <c r="S127" s="9" t="s">
        <v>25</v>
      </c>
      <c r="T127" s="9" t="s">
        <v>25</v>
      </c>
      <c r="U127" s="9"/>
      <c r="V127" s="178"/>
      <c r="W127" s="175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70.5" customHeight="1" x14ac:dyDescent="0.85">
      <c r="A128" s="173"/>
      <c r="B128" s="173"/>
      <c r="C128" s="173"/>
      <c r="D128" s="9" t="s">
        <v>54</v>
      </c>
      <c r="E128" s="9" t="s">
        <v>108</v>
      </c>
      <c r="F128" s="9">
        <v>3</v>
      </c>
      <c r="G128" s="9"/>
      <c r="H128" s="9"/>
      <c r="I128" s="9"/>
      <c r="J128" s="9"/>
      <c r="K128" s="9"/>
      <c r="L128" s="9">
        <f t="shared" si="3"/>
        <v>3</v>
      </c>
      <c r="M128" s="173"/>
      <c r="N128" s="11"/>
      <c r="O128" s="11"/>
      <c r="P128" s="15"/>
      <c r="Q128" s="15"/>
      <c r="R128" s="173"/>
      <c r="S128" s="15"/>
      <c r="T128" s="15"/>
      <c r="U128" s="11"/>
      <c r="V128" s="173"/>
      <c r="W128" s="173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70.5" customHeight="1" x14ac:dyDescent="0.85">
      <c r="A129" s="173"/>
      <c r="B129" s="173"/>
      <c r="C129" s="173"/>
      <c r="D129" s="16"/>
      <c r="E129" s="16"/>
      <c r="F129" s="9"/>
      <c r="G129" s="9"/>
      <c r="H129" s="9"/>
      <c r="I129" s="9"/>
      <c r="J129" s="9"/>
      <c r="K129" s="9"/>
      <c r="L129" s="9"/>
      <c r="M129" s="173"/>
      <c r="N129" s="11"/>
      <c r="O129" s="11"/>
      <c r="P129" s="15"/>
      <c r="Q129" s="15"/>
      <c r="R129" s="173"/>
      <c r="S129" s="15"/>
      <c r="T129" s="15"/>
      <c r="U129" s="11"/>
      <c r="V129" s="173"/>
      <c r="W129" s="173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70.5" customHeight="1" x14ac:dyDescent="0.85">
      <c r="A130" s="173"/>
      <c r="B130" s="173"/>
      <c r="C130" s="173"/>
      <c r="D130" s="14" t="s">
        <v>59</v>
      </c>
      <c r="E130" s="9" t="s">
        <v>109</v>
      </c>
      <c r="F130" s="16"/>
      <c r="G130" s="16"/>
      <c r="H130" s="9"/>
      <c r="I130" s="9">
        <v>2</v>
      </c>
      <c r="J130" s="9"/>
      <c r="K130" s="9"/>
      <c r="L130" s="9">
        <f t="shared" ref="L130:L137" si="4">SUM(F130:K130)</f>
        <v>2</v>
      </c>
      <c r="M130" s="173"/>
      <c r="N130" s="11"/>
      <c r="O130" s="11"/>
      <c r="P130" s="15"/>
      <c r="Q130" s="15"/>
      <c r="R130" s="173"/>
      <c r="S130" s="15"/>
      <c r="T130" s="15"/>
      <c r="U130" s="11"/>
      <c r="V130" s="173"/>
      <c r="W130" s="173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70.5" customHeight="1" x14ac:dyDescent="0.85">
      <c r="A131" s="173"/>
      <c r="B131" s="173"/>
      <c r="C131" s="173"/>
      <c r="D131" s="16" t="s">
        <v>129</v>
      </c>
      <c r="E131" s="16" t="s">
        <v>106</v>
      </c>
      <c r="F131" s="16"/>
      <c r="G131" s="16"/>
      <c r="H131" s="9">
        <v>2</v>
      </c>
      <c r="I131" s="9">
        <v>2</v>
      </c>
      <c r="J131" s="9">
        <v>2</v>
      </c>
      <c r="K131" s="9">
        <v>2</v>
      </c>
      <c r="L131" s="9">
        <f t="shared" si="4"/>
        <v>8</v>
      </c>
      <c r="M131" s="173"/>
      <c r="N131" s="11"/>
      <c r="O131" s="11"/>
      <c r="P131" s="15"/>
      <c r="Q131" s="15"/>
      <c r="R131" s="173"/>
      <c r="S131" s="15"/>
      <c r="T131" s="15"/>
      <c r="U131" s="11"/>
      <c r="V131" s="173"/>
      <c r="W131" s="173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70.5" customHeight="1" x14ac:dyDescent="0.85">
      <c r="A132" s="173"/>
      <c r="B132" s="173"/>
      <c r="C132" s="173"/>
      <c r="D132" s="16"/>
      <c r="E132" s="16"/>
      <c r="F132" s="16"/>
      <c r="G132" s="16"/>
      <c r="H132" s="9"/>
      <c r="I132" s="9"/>
      <c r="J132" s="9"/>
      <c r="K132" s="9"/>
      <c r="L132" s="9">
        <f t="shared" si="4"/>
        <v>0</v>
      </c>
      <c r="M132" s="173"/>
      <c r="N132" s="11"/>
      <c r="O132" s="11"/>
      <c r="P132" s="15"/>
      <c r="Q132" s="15"/>
      <c r="R132" s="173"/>
      <c r="S132" s="15"/>
      <c r="T132" s="15"/>
      <c r="U132" s="11"/>
      <c r="V132" s="173"/>
      <c r="W132" s="173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70.5" customHeight="1" x14ac:dyDescent="0.85">
      <c r="A133" s="174"/>
      <c r="B133" s="174"/>
      <c r="C133" s="174"/>
      <c r="D133" s="12" t="s">
        <v>129</v>
      </c>
      <c r="E133" s="12" t="s">
        <v>107</v>
      </c>
      <c r="F133" s="12">
        <v>2</v>
      </c>
      <c r="G133" s="12"/>
      <c r="H133" s="13"/>
      <c r="I133" s="13"/>
      <c r="J133" s="13"/>
      <c r="K133" s="13"/>
      <c r="L133" s="13">
        <f t="shared" si="4"/>
        <v>2</v>
      </c>
      <c r="M133" s="174"/>
      <c r="N133" s="11"/>
      <c r="O133" s="11"/>
      <c r="P133" s="15"/>
      <c r="Q133" s="15"/>
      <c r="R133" s="174"/>
      <c r="S133" s="15"/>
      <c r="T133" s="15"/>
      <c r="U133" s="11"/>
      <c r="V133" s="174"/>
      <c r="W133" s="174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70.5" customHeight="1" x14ac:dyDescent="0.85">
      <c r="A134" s="182">
        <v>27</v>
      </c>
      <c r="B134" s="179" t="s">
        <v>151</v>
      </c>
      <c r="C134" s="181" t="s">
        <v>56</v>
      </c>
      <c r="D134" s="44"/>
      <c r="E134" s="44"/>
      <c r="F134" s="44"/>
      <c r="G134" s="44"/>
      <c r="H134" s="44"/>
      <c r="I134" s="44"/>
      <c r="J134" s="44"/>
      <c r="K134" s="44"/>
      <c r="L134" s="9">
        <f t="shared" si="4"/>
        <v>0</v>
      </c>
      <c r="M134" s="178">
        <f>SUM(L134:L137)</f>
        <v>12</v>
      </c>
      <c r="N134" s="9" t="s">
        <v>24</v>
      </c>
      <c r="O134" s="9"/>
      <c r="P134" s="9">
        <v>0</v>
      </c>
      <c r="Q134" s="9">
        <v>8</v>
      </c>
      <c r="R134" s="177">
        <v>2</v>
      </c>
      <c r="S134" s="9" t="s">
        <v>25</v>
      </c>
      <c r="T134" s="9" t="s">
        <v>25</v>
      </c>
      <c r="U134" s="9"/>
      <c r="V134" s="178"/>
      <c r="W134" s="175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70.5" customHeight="1" x14ac:dyDescent="0.85">
      <c r="A135" s="173"/>
      <c r="B135" s="173"/>
      <c r="C135" s="173"/>
      <c r="D135" s="9"/>
      <c r="E135" s="9"/>
      <c r="F135" s="9"/>
      <c r="G135" s="9"/>
      <c r="H135" s="9"/>
      <c r="I135" s="9"/>
      <c r="J135" s="9"/>
      <c r="K135" s="9"/>
      <c r="L135" s="9">
        <f t="shared" si="4"/>
        <v>0</v>
      </c>
      <c r="M135" s="173"/>
      <c r="N135" s="11"/>
      <c r="O135" s="11"/>
      <c r="P135" s="15"/>
      <c r="Q135" s="15"/>
      <c r="R135" s="173"/>
      <c r="S135" s="15"/>
      <c r="T135" s="15"/>
      <c r="U135" s="11"/>
      <c r="V135" s="173"/>
      <c r="W135" s="173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70.5" customHeight="1" x14ac:dyDescent="0.85">
      <c r="A136" s="173"/>
      <c r="B136" s="173"/>
      <c r="C136" s="173"/>
      <c r="D136" s="9" t="s">
        <v>35</v>
      </c>
      <c r="E136" s="9" t="s">
        <v>108</v>
      </c>
      <c r="F136" s="18"/>
      <c r="G136" s="18"/>
      <c r="H136" s="9">
        <v>2</v>
      </c>
      <c r="I136" s="9"/>
      <c r="J136" s="9">
        <v>2</v>
      </c>
      <c r="K136" s="9">
        <v>2</v>
      </c>
      <c r="L136" s="9">
        <f t="shared" si="4"/>
        <v>6</v>
      </c>
      <c r="M136" s="173"/>
      <c r="N136" s="11"/>
      <c r="O136" s="11"/>
      <c r="P136" s="15"/>
      <c r="Q136" s="15"/>
      <c r="R136" s="174"/>
      <c r="S136" s="15"/>
      <c r="T136" s="15"/>
      <c r="U136" s="11"/>
      <c r="V136" s="173"/>
      <c r="W136" s="173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70.5" customHeight="1" x14ac:dyDescent="0.85">
      <c r="A137" s="173"/>
      <c r="B137" s="209"/>
      <c r="C137" s="209"/>
      <c r="D137" s="22" t="s">
        <v>54</v>
      </c>
      <c r="E137" s="22" t="s">
        <v>108</v>
      </c>
      <c r="F137" s="45"/>
      <c r="G137" s="46"/>
      <c r="H137" s="22">
        <v>2</v>
      </c>
      <c r="I137" s="47">
        <v>2</v>
      </c>
      <c r="J137" s="22"/>
      <c r="K137" s="22">
        <v>2</v>
      </c>
      <c r="L137" s="22">
        <f t="shared" si="4"/>
        <v>6</v>
      </c>
      <c r="M137" s="209"/>
      <c r="N137" s="11"/>
      <c r="O137" s="11"/>
      <c r="P137" s="15"/>
      <c r="Q137" s="15"/>
      <c r="R137" s="15"/>
      <c r="S137" s="15"/>
      <c r="T137" s="15"/>
      <c r="U137" s="11"/>
      <c r="V137" s="174"/>
      <c r="W137" s="174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70.5" customHeight="1" x14ac:dyDescent="0.85">
      <c r="A138" s="192">
        <v>28</v>
      </c>
      <c r="B138" s="181" t="s">
        <v>152</v>
      </c>
      <c r="C138" s="181" t="s">
        <v>56</v>
      </c>
      <c r="D138" s="9"/>
      <c r="E138" s="9"/>
      <c r="F138" s="9"/>
      <c r="G138" s="9"/>
      <c r="H138" s="9"/>
      <c r="I138" s="9"/>
      <c r="J138" s="9"/>
      <c r="K138" s="9"/>
      <c r="L138" s="9"/>
      <c r="M138" s="178">
        <f>SUM(L138:L141)</f>
        <v>0</v>
      </c>
      <c r="N138" s="202" t="s">
        <v>24</v>
      </c>
      <c r="O138" s="9"/>
      <c r="P138" s="9"/>
      <c r="Q138" s="9"/>
      <c r="R138" s="177">
        <v>2</v>
      </c>
      <c r="S138" s="9" t="s">
        <v>25</v>
      </c>
      <c r="T138" s="9" t="s">
        <v>25</v>
      </c>
      <c r="U138" s="9"/>
      <c r="V138" s="172"/>
      <c r="W138" s="17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70.5" customHeight="1" x14ac:dyDescent="0.85">
      <c r="A139" s="173"/>
      <c r="B139" s="173"/>
      <c r="C139" s="173"/>
      <c r="D139" s="9"/>
      <c r="E139" s="9"/>
      <c r="F139" s="9"/>
      <c r="G139" s="9"/>
      <c r="H139" s="9"/>
      <c r="I139" s="9"/>
      <c r="J139" s="9"/>
      <c r="K139" s="9"/>
      <c r="L139" s="9">
        <f t="shared" ref="L139:L144" si="5">SUM(F139:K139)</f>
        <v>0</v>
      </c>
      <c r="M139" s="173"/>
      <c r="N139" s="203"/>
      <c r="O139" s="11"/>
      <c r="P139" s="15"/>
      <c r="Q139" s="15">
        <v>8</v>
      </c>
      <c r="R139" s="173"/>
      <c r="S139" s="15"/>
      <c r="T139" s="15"/>
      <c r="U139" s="11"/>
      <c r="V139" s="173"/>
      <c r="W139" s="17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70.5" customHeight="1" x14ac:dyDescent="0.85">
      <c r="A140" s="173"/>
      <c r="B140" s="173"/>
      <c r="C140" s="173"/>
      <c r="D140" s="16"/>
      <c r="E140" s="16"/>
      <c r="F140" s="16"/>
      <c r="G140" s="16"/>
      <c r="H140" s="9"/>
      <c r="I140" s="18"/>
      <c r="J140" s="18"/>
      <c r="K140" s="18"/>
      <c r="L140" s="9">
        <f t="shared" si="5"/>
        <v>0</v>
      </c>
      <c r="M140" s="173"/>
      <c r="N140" s="203"/>
      <c r="O140" s="11"/>
      <c r="P140" s="15">
        <v>0</v>
      </c>
      <c r="Q140" s="15"/>
      <c r="R140" s="173"/>
      <c r="S140" s="15"/>
      <c r="T140" s="15"/>
      <c r="U140" s="11"/>
      <c r="V140" s="173"/>
      <c r="W140" s="173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70.5" customHeight="1" x14ac:dyDescent="0.85">
      <c r="A141" s="174"/>
      <c r="B141" s="174"/>
      <c r="C141" s="174"/>
      <c r="D141" s="19"/>
      <c r="E141" s="19"/>
      <c r="F141" s="19"/>
      <c r="G141" s="19"/>
      <c r="H141" s="19"/>
      <c r="I141" s="19"/>
      <c r="J141" s="19"/>
      <c r="K141" s="19"/>
      <c r="L141" s="9">
        <f t="shared" si="5"/>
        <v>0</v>
      </c>
      <c r="M141" s="174"/>
      <c r="N141" s="204"/>
      <c r="O141" s="11"/>
      <c r="P141" s="15"/>
      <c r="Q141" s="15"/>
      <c r="R141" s="174"/>
      <c r="S141" s="15"/>
      <c r="T141" s="15"/>
      <c r="U141" s="11"/>
      <c r="V141" s="174"/>
      <c r="W141" s="174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70.5" customHeight="1" x14ac:dyDescent="0.85">
      <c r="A142" s="192">
        <v>29</v>
      </c>
      <c r="B142" s="193" t="s">
        <v>153</v>
      </c>
      <c r="C142" s="181" t="s">
        <v>56</v>
      </c>
      <c r="D142" s="9" t="s">
        <v>117</v>
      </c>
      <c r="E142" s="9" t="s">
        <v>128</v>
      </c>
      <c r="F142" s="48">
        <v>3</v>
      </c>
      <c r="G142" s="48"/>
      <c r="H142" s="48">
        <v>2</v>
      </c>
      <c r="I142" s="48">
        <v>2</v>
      </c>
      <c r="J142" s="48">
        <v>2</v>
      </c>
      <c r="K142" s="48">
        <v>2</v>
      </c>
      <c r="L142" s="9">
        <f t="shared" si="5"/>
        <v>11</v>
      </c>
      <c r="M142" s="178">
        <f>SUM(L142:L145)</f>
        <v>17</v>
      </c>
      <c r="N142" s="49"/>
      <c r="O142" s="50"/>
      <c r="P142" s="15"/>
      <c r="Q142" s="15"/>
      <c r="R142" s="51"/>
      <c r="S142" s="15"/>
      <c r="T142" s="15"/>
      <c r="U142" s="11"/>
      <c r="V142" s="51"/>
      <c r="W142" s="51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70.5" customHeight="1" x14ac:dyDescent="0.85">
      <c r="A143" s="173"/>
      <c r="B143" s="173"/>
      <c r="C143" s="173"/>
      <c r="D143" s="31" t="s">
        <v>58</v>
      </c>
      <c r="E143" s="28" t="s">
        <v>128</v>
      </c>
      <c r="F143" s="48"/>
      <c r="G143" s="48"/>
      <c r="H143" s="48">
        <v>2</v>
      </c>
      <c r="I143" s="48">
        <v>2</v>
      </c>
      <c r="J143" s="9">
        <v>2</v>
      </c>
      <c r="K143" s="48"/>
      <c r="L143" s="9">
        <f t="shared" si="5"/>
        <v>6</v>
      </c>
      <c r="M143" s="173"/>
      <c r="N143" s="49"/>
      <c r="O143" s="50"/>
      <c r="P143" s="15"/>
      <c r="Q143" s="15"/>
      <c r="R143" s="51"/>
      <c r="S143" s="15"/>
      <c r="T143" s="15"/>
      <c r="U143" s="11"/>
      <c r="V143" s="51"/>
      <c r="W143" s="51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70.5" customHeight="1" x14ac:dyDescent="0.85">
      <c r="A144" s="173"/>
      <c r="B144" s="173"/>
      <c r="C144" s="173"/>
      <c r="D144" s="19"/>
      <c r="E144" s="19"/>
      <c r="F144" s="19"/>
      <c r="G144" s="19"/>
      <c r="H144" s="19"/>
      <c r="I144" s="19"/>
      <c r="J144" s="19"/>
      <c r="K144" s="19"/>
      <c r="L144" s="9">
        <f t="shared" si="5"/>
        <v>0</v>
      </c>
      <c r="M144" s="173"/>
      <c r="N144" s="49"/>
      <c r="O144" s="52"/>
      <c r="P144" s="53"/>
      <c r="Q144" s="53"/>
      <c r="R144" s="54"/>
      <c r="S144" s="15"/>
      <c r="T144" s="15"/>
      <c r="U144" s="11"/>
      <c r="V144" s="51"/>
      <c r="W144" s="51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70.5" customHeight="1" x14ac:dyDescent="0.85">
      <c r="A145" s="174"/>
      <c r="B145" s="174"/>
      <c r="C145" s="174"/>
      <c r="D145" s="12" t="s">
        <v>129</v>
      </c>
      <c r="E145" s="12" t="s">
        <v>107</v>
      </c>
      <c r="F145" s="12"/>
      <c r="G145" s="12"/>
      <c r="H145" s="13"/>
      <c r="I145" s="13"/>
      <c r="J145" s="13"/>
      <c r="K145" s="13"/>
      <c r="L145" s="55"/>
      <c r="M145" s="174"/>
      <c r="N145" s="49"/>
      <c r="O145" s="11"/>
      <c r="P145" s="15"/>
      <c r="Q145" s="15"/>
      <c r="R145" s="49"/>
      <c r="S145" s="56"/>
      <c r="T145" s="15"/>
      <c r="U145" s="11"/>
      <c r="V145" s="51"/>
      <c r="W145" s="51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70.5" customHeight="1" x14ac:dyDescent="0.85">
      <c r="A146" s="192">
        <v>30</v>
      </c>
      <c r="B146" s="193" t="s">
        <v>154</v>
      </c>
      <c r="C146" s="181" t="s">
        <v>56</v>
      </c>
      <c r="D146" s="9" t="s">
        <v>51</v>
      </c>
      <c r="E146" s="9" t="s">
        <v>36</v>
      </c>
      <c r="F146" s="9"/>
      <c r="G146" s="9">
        <v>2</v>
      </c>
      <c r="H146" s="10"/>
      <c r="I146" s="10"/>
      <c r="J146" s="10"/>
      <c r="K146" s="57"/>
      <c r="L146" s="9">
        <f t="shared" ref="L146:L154" si="6">SUM(F146:K146)</f>
        <v>2</v>
      </c>
      <c r="M146" s="185">
        <f>SUM(L146:L151)</f>
        <v>18</v>
      </c>
      <c r="N146" s="49"/>
      <c r="O146" s="11"/>
      <c r="P146" s="15"/>
      <c r="Q146" s="15"/>
      <c r="R146" s="49"/>
      <c r="S146" s="56"/>
      <c r="T146" s="15"/>
      <c r="U146" s="11"/>
      <c r="V146" s="51"/>
      <c r="W146" s="51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70.5" customHeight="1" x14ac:dyDescent="0.85">
      <c r="A147" s="173"/>
      <c r="B147" s="173"/>
      <c r="C147" s="173"/>
      <c r="D147" s="9" t="s">
        <v>46</v>
      </c>
      <c r="E147" s="9" t="s">
        <v>36</v>
      </c>
      <c r="F147" s="22"/>
      <c r="G147" s="22">
        <v>2</v>
      </c>
      <c r="H147" s="22"/>
      <c r="I147" s="22"/>
      <c r="J147" s="22"/>
      <c r="K147" s="58"/>
      <c r="L147" s="9">
        <f t="shared" si="6"/>
        <v>2</v>
      </c>
      <c r="M147" s="173"/>
      <c r="N147" s="49"/>
      <c r="O147" s="11"/>
      <c r="P147" s="15"/>
      <c r="Q147" s="15"/>
      <c r="R147" s="49"/>
      <c r="S147" s="56"/>
      <c r="T147" s="15"/>
      <c r="U147" s="11"/>
      <c r="V147" s="51"/>
      <c r="W147" s="51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70.5" customHeight="1" x14ac:dyDescent="0.85">
      <c r="A148" s="173"/>
      <c r="B148" s="173"/>
      <c r="C148" s="173"/>
      <c r="D148" s="14" t="s">
        <v>46</v>
      </c>
      <c r="E148" s="59" t="s">
        <v>110</v>
      </c>
      <c r="F148" s="9"/>
      <c r="G148" s="9"/>
      <c r="H148" s="10">
        <v>2</v>
      </c>
      <c r="I148" s="10"/>
      <c r="J148" s="10">
        <v>2</v>
      </c>
      <c r="K148" s="57">
        <v>2</v>
      </c>
      <c r="L148" s="9">
        <f t="shared" si="6"/>
        <v>6</v>
      </c>
      <c r="M148" s="173"/>
      <c r="N148" s="49"/>
      <c r="O148" s="11"/>
      <c r="P148" s="15"/>
      <c r="Q148" s="15"/>
      <c r="R148" s="49"/>
      <c r="S148" s="56"/>
      <c r="T148" s="15"/>
      <c r="U148" s="11"/>
      <c r="V148" s="51"/>
      <c r="W148" s="51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70.5" customHeight="1" x14ac:dyDescent="0.85">
      <c r="A149" s="173"/>
      <c r="B149" s="173"/>
      <c r="C149" s="173"/>
      <c r="D149" s="9" t="s">
        <v>58</v>
      </c>
      <c r="E149" s="9" t="s">
        <v>106</v>
      </c>
      <c r="F149" s="60"/>
      <c r="G149" s="60"/>
      <c r="H149" s="60"/>
      <c r="I149" s="60">
        <v>2</v>
      </c>
      <c r="J149" s="60"/>
      <c r="K149" s="61"/>
      <c r="L149" s="9">
        <f t="shared" si="6"/>
        <v>2</v>
      </c>
      <c r="M149" s="173"/>
      <c r="N149" s="49"/>
      <c r="O149" s="11"/>
      <c r="P149" s="15"/>
      <c r="Q149" s="15"/>
      <c r="R149" s="49"/>
      <c r="S149" s="56"/>
      <c r="T149" s="15"/>
      <c r="U149" s="11"/>
      <c r="V149" s="51"/>
      <c r="W149" s="51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70.5" customHeight="1" x14ac:dyDescent="0.85">
      <c r="A150" s="173"/>
      <c r="B150" s="173"/>
      <c r="C150" s="173"/>
      <c r="D150" s="9" t="s">
        <v>117</v>
      </c>
      <c r="E150" s="9" t="s">
        <v>106</v>
      </c>
      <c r="F150" s="19"/>
      <c r="G150" s="19"/>
      <c r="H150" s="19">
        <v>2</v>
      </c>
      <c r="I150" s="19">
        <v>2</v>
      </c>
      <c r="J150" s="19"/>
      <c r="K150" s="62"/>
      <c r="L150" s="9">
        <f t="shared" si="6"/>
        <v>4</v>
      </c>
      <c r="M150" s="173"/>
      <c r="N150" s="49"/>
      <c r="O150" s="11"/>
      <c r="P150" s="15"/>
      <c r="Q150" s="15"/>
      <c r="R150" s="49"/>
      <c r="S150" s="56"/>
      <c r="T150" s="15"/>
      <c r="U150" s="11"/>
      <c r="V150" s="51"/>
      <c r="W150" s="51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70.5" customHeight="1" x14ac:dyDescent="0.85">
      <c r="A151" s="174"/>
      <c r="B151" s="174"/>
      <c r="C151" s="174"/>
      <c r="D151" s="9" t="s">
        <v>54</v>
      </c>
      <c r="E151" s="9" t="s">
        <v>155</v>
      </c>
      <c r="F151" s="9"/>
      <c r="G151" s="9"/>
      <c r="H151" s="9"/>
      <c r="I151" s="9"/>
      <c r="J151" s="9">
        <v>2</v>
      </c>
      <c r="K151" s="63"/>
      <c r="L151" s="9">
        <f t="shared" si="6"/>
        <v>2</v>
      </c>
      <c r="M151" s="174"/>
      <c r="N151" s="49"/>
      <c r="O151" s="11"/>
      <c r="P151" s="15"/>
      <c r="Q151" s="15"/>
      <c r="R151" s="49"/>
      <c r="S151" s="56"/>
      <c r="T151" s="15"/>
      <c r="U151" s="11"/>
      <c r="V151" s="51"/>
      <c r="W151" s="51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70.5" customHeight="1" x14ac:dyDescent="0.85">
      <c r="A152" s="194">
        <v>29</v>
      </c>
      <c r="B152" s="195" t="s">
        <v>156</v>
      </c>
      <c r="C152" s="196" t="s">
        <v>56</v>
      </c>
      <c r="D152" s="64" t="s">
        <v>58</v>
      </c>
      <c r="E152" s="64" t="s">
        <v>157</v>
      </c>
      <c r="F152" s="64">
        <v>3</v>
      </c>
      <c r="G152" s="64"/>
      <c r="H152" s="25"/>
      <c r="I152" s="25"/>
      <c r="J152" s="25"/>
      <c r="K152" s="25"/>
      <c r="L152" s="25">
        <f t="shared" si="6"/>
        <v>3</v>
      </c>
      <c r="M152" s="207">
        <f>SUM(L152:L154)</f>
        <v>9</v>
      </c>
      <c r="N152" s="65"/>
      <c r="O152" s="65"/>
      <c r="P152" s="66"/>
      <c r="Q152" s="66"/>
      <c r="R152" s="67"/>
      <c r="S152" s="15"/>
      <c r="T152" s="15"/>
      <c r="U152" s="11"/>
      <c r="V152" s="14"/>
      <c r="W152" s="9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70.5" customHeight="1" x14ac:dyDescent="0.85">
      <c r="A153" s="173"/>
      <c r="B153" s="173"/>
      <c r="C153" s="173"/>
      <c r="D153" s="16" t="s">
        <v>129</v>
      </c>
      <c r="E153" s="16" t="s">
        <v>157</v>
      </c>
      <c r="F153" s="16">
        <v>3</v>
      </c>
      <c r="G153" s="16"/>
      <c r="H153" s="9"/>
      <c r="I153" s="9"/>
      <c r="J153" s="9"/>
      <c r="K153" s="9"/>
      <c r="L153" s="9">
        <f t="shared" si="6"/>
        <v>3</v>
      </c>
      <c r="M153" s="173"/>
      <c r="N153" s="11"/>
      <c r="O153" s="11"/>
      <c r="P153" s="15"/>
      <c r="Q153" s="15"/>
      <c r="R153" s="10"/>
      <c r="S153" s="15"/>
      <c r="T153" s="15"/>
      <c r="U153" s="11"/>
      <c r="V153" s="14"/>
      <c r="W153" s="9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70.5" customHeight="1" x14ac:dyDescent="0.85">
      <c r="A154" s="174"/>
      <c r="B154" s="174"/>
      <c r="C154" s="174"/>
      <c r="D154" s="16" t="s">
        <v>117</v>
      </c>
      <c r="E154" s="16" t="s">
        <v>157</v>
      </c>
      <c r="F154" s="16">
        <v>3</v>
      </c>
      <c r="G154" s="16"/>
      <c r="H154" s="9"/>
      <c r="I154" s="9"/>
      <c r="J154" s="9"/>
      <c r="K154" s="9"/>
      <c r="L154" s="9">
        <f t="shared" si="6"/>
        <v>3</v>
      </c>
      <c r="M154" s="174"/>
      <c r="N154" s="11"/>
      <c r="O154" s="11"/>
      <c r="P154" s="15"/>
      <c r="Q154" s="15"/>
      <c r="R154" s="10"/>
      <c r="S154" s="15"/>
      <c r="T154" s="15"/>
      <c r="U154" s="11"/>
      <c r="V154" s="14"/>
      <c r="W154" s="9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42" customHeight="1" x14ac:dyDescent="0.65">
      <c r="A155" s="197"/>
      <c r="B155" s="190"/>
      <c r="C155" s="191"/>
      <c r="D155" s="68"/>
      <c r="E155" s="68"/>
      <c r="F155" s="68"/>
      <c r="G155" s="68"/>
      <c r="H155" s="68"/>
      <c r="I155" s="68"/>
      <c r="J155" s="68"/>
      <c r="K155" s="68"/>
      <c r="L155" s="68"/>
      <c r="M155" s="208">
        <f>SUM(M7:M154)-D185</f>
        <v>441</v>
      </c>
      <c r="N155" s="68"/>
      <c r="O155" s="68"/>
      <c r="P155" s="68"/>
      <c r="Q155" s="68"/>
      <c r="R155" s="68"/>
      <c r="S155" s="68"/>
      <c r="T155" s="68"/>
      <c r="U155" s="68"/>
      <c r="V155" s="208"/>
      <c r="W155" s="226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42" customHeight="1" x14ac:dyDescent="0.65">
      <c r="A156" s="173"/>
      <c r="B156" s="173"/>
      <c r="C156" s="173"/>
      <c r="D156" s="68"/>
      <c r="E156" s="68"/>
      <c r="F156" s="68"/>
      <c r="G156" s="68"/>
      <c r="H156" s="69"/>
      <c r="I156" s="69"/>
      <c r="J156" s="69"/>
      <c r="K156" s="69"/>
      <c r="L156" s="68">
        <f>SUM(L7:L154)</f>
        <v>500</v>
      </c>
      <c r="M156" s="173"/>
      <c r="N156" s="70"/>
      <c r="O156" s="70"/>
      <c r="P156" s="71"/>
      <c r="Q156" s="71"/>
      <c r="R156" s="71"/>
      <c r="S156" s="71"/>
      <c r="T156" s="71"/>
      <c r="U156" s="70"/>
      <c r="V156" s="173"/>
      <c r="W156" s="173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42" customHeight="1" x14ac:dyDescent="0.65">
      <c r="A157" s="174"/>
      <c r="B157" s="174"/>
      <c r="C157" s="174"/>
      <c r="D157" s="68"/>
      <c r="E157" s="68"/>
      <c r="F157" s="69"/>
      <c r="G157" s="69"/>
      <c r="H157" s="69"/>
      <c r="I157" s="69"/>
      <c r="J157" s="69"/>
      <c r="K157" s="69"/>
      <c r="L157" s="68"/>
      <c r="M157" s="174"/>
      <c r="N157" s="70"/>
      <c r="O157" s="70"/>
      <c r="P157" s="71"/>
      <c r="Q157" s="71"/>
      <c r="R157" s="71"/>
      <c r="S157" s="71"/>
      <c r="T157" s="71"/>
      <c r="U157" s="70"/>
      <c r="V157" s="174"/>
      <c r="W157" s="17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" customHeight="1" x14ac:dyDescent="0.25">
      <c r="A158" s="5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 spans="1:41" ht="84" customHeight="1" x14ac:dyDescent="0.85">
      <c r="A159" s="5"/>
      <c r="B159" s="72"/>
      <c r="C159" s="72"/>
      <c r="D159" s="72"/>
      <c r="E159" s="72"/>
      <c r="F159" s="73" t="s">
        <v>31</v>
      </c>
      <c r="G159" s="73">
        <f>SUM(L12,L13,L14,L15,L18,L19,L20,L22:L24,L28,L36,L43:L46,L56,L63,L64,L72,L73,L78:L81,L85,L88,L92,L93,L97,L124,L130,L148,L147,L164:L175)</f>
        <v>188</v>
      </c>
      <c r="H159" s="72"/>
      <c r="I159" s="72"/>
      <c r="J159" s="72"/>
      <c r="K159" s="72"/>
      <c r="L159" s="72"/>
      <c r="M159" s="72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 spans="1:41" ht="15" customHeight="1" x14ac:dyDescent="0.25">
      <c r="A160" s="5"/>
      <c r="B160" s="72"/>
      <c r="C160" s="72"/>
      <c r="D160" s="72"/>
      <c r="E160" s="72"/>
      <c r="G160" s="72"/>
      <c r="H160" s="72"/>
      <c r="I160" s="72"/>
      <c r="J160" s="72"/>
      <c r="K160" s="72"/>
      <c r="L160" s="72"/>
      <c r="M160" s="72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 spans="1:41" ht="15" customHeight="1" x14ac:dyDescent="0.25">
      <c r="A161" s="5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 spans="1:41" ht="15.75" customHeight="1" x14ac:dyDescent="0.25">
      <c r="A162" s="5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 spans="1:41" ht="75" customHeight="1" x14ac:dyDescent="0.25">
      <c r="A163" s="5"/>
      <c r="B163" s="239" t="s">
        <v>88</v>
      </c>
      <c r="C163" s="214"/>
      <c r="D163" s="214"/>
      <c r="E163" s="214"/>
      <c r="F163" s="215"/>
      <c r="G163" s="72"/>
      <c r="H163" s="72"/>
      <c r="I163" s="72"/>
      <c r="J163" s="72"/>
      <c r="K163" s="72"/>
      <c r="L163" s="72"/>
      <c r="M163" s="72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 spans="1:41" ht="51" customHeight="1" x14ac:dyDescent="0.25">
      <c r="A164" s="188">
        <v>1</v>
      </c>
      <c r="B164" s="189" t="s">
        <v>158</v>
      </c>
      <c r="C164" s="181" t="s">
        <v>56</v>
      </c>
      <c r="D164" s="14" t="s">
        <v>64</v>
      </c>
      <c r="E164" s="14" t="s">
        <v>159</v>
      </c>
      <c r="F164" s="14">
        <v>4</v>
      </c>
      <c r="G164" s="14"/>
      <c r="H164" s="14"/>
      <c r="I164" s="14"/>
      <c r="J164" s="14"/>
      <c r="K164" s="14"/>
      <c r="L164" s="14">
        <f t="shared" ref="L164:L175" si="7">SUM(F164:K164)</f>
        <v>4</v>
      </c>
      <c r="M164" s="172">
        <f>SUM(L164:L166)</f>
        <v>12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 spans="1:41" ht="51" customHeight="1" x14ac:dyDescent="0.25">
      <c r="A165" s="173"/>
      <c r="B165" s="173"/>
      <c r="C165" s="173"/>
      <c r="D165" s="14" t="s">
        <v>59</v>
      </c>
      <c r="E165" s="14" t="s">
        <v>159</v>
      </c>
      <c r="F165" s="14">
        <v>4</v>
      </c>
      <c r="G165" s="14"/>
      <c r="H165" s="14"/>
      <c r="I165" s="14"/>
      <c r="J165" s="14"/>
      <c r="K165" s="14"/>
      <c r="L165" s="14">
        <f t="shared" si="7"/>
        <v>4</v>
      </c>
      <c r="M165" s="17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 spans="1:41" ht="51" customHeight="1" x14ac:dyDescent="0.25">
      <c r="A166" s="174"/>
      <c r="B166" s="174"/>
      <c r="C166" s="174"/>
      <c r="D166" s="14" t="s">
        <v>46</v>
      </c>
      <c r="E166" s="14" t="s">
        <v>159</v>
      </c>
      <c r="F166" s="14">
        <v>4</v>
      </c>
      <c r="G166" s="14"/>
      <c r="H166" s="14"/>
      <c r="I166" s="14"/>
      <c r="J166" s="14"/>
      <c r="K166" s="14"/>
      <c r="L166" s="14">
        <f t="shared" si="7"/>
        <v>4</v>
      </c>
      <c r="M166" s="17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 spans="1:41" ht="51" customHeight="1" x14ac:dyDescent="0.25">
      <c r="A167" s="188">
        <v>2</v>
      </c>
      <c r="B167" s="187" t="s">
        <v>160</v>
      </c>
      <c r="C167" s="181" t="s">
        <v>56</v>
      </c>
      <c r="D167" s="14" t="s">
        <v>59</v>
      </c>
      <c r="E167" s="14" t="s">
        <v>124</v>
      </c>
      <c r="F167" s="14"/>
      <c r="G167" s="14"/>
      <c r="H167" s="14">
        <v>2</v>
      </c>
      <c r="I167" s="14">
        <v>2</v>
      </c>
      <c r="J167" s="14"/>
      <c r="K167" s="14"/>
      <c r="L167" s="14">
        <f t="shared" si="7"/>
        <v>4</v>
      </c>
      <c r="M167" s="172">
        <f>SUM(L167:L168)</f>
        <v>11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 spans="1:41" ht="45" customHeight="1" x14ac:dyDescent="0.25">
      <c r="A168" s="174"/>
      <c r="B168" s="174"/>
      <c r="C168" s="174"/>
      <c r="D168" s="14" t="s">
        <v>46</v>
      </c>
      <c r="E168" s="14" t="s">
        <v>124</v>
      </c>
      <c r="F168" s="14">
        <v>3</v>
      </c>
      <c r="G168" s="14"/>
      <c r="H168" s="14">
        <v>2</v>
      </c>
      <c r="I168" s="14">
        <v>2</v>
      </c>
      <c r="J168" s="14"/>
      <c r="K168" s="14"/>
      <c r="L168" s="14">
        <f t="shared" si="7"/>
        <v>7</v>
      </c>
      <c r="M168" s="17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 spans="1:41" ht="55.5" customHeight="1" x14ac:dyDescent="0.25">
      <c r="A169" s="188">
        <v>3</v>
      </c>
      <c r="B169" s="187" t="s">
        <v>161</v>
      </c>
      <c r="C169" s="181" t="s">
        <v>56</v>
      </c>
      <c r="D169" s="14" t="s">
        <v>162</v>
      </c>
      <c r="E169" s="14" t="s">
        <v>113</v>
      </c>
      <c r="F169" s="14"/>
      <c r="G169" s="14"/>
      <c r="H169" s="14">
        <v>2</v>
      </c>
      <c r="I169" s="14">
        <v>2</v>
      </c>
      <c r="J169" s="14"/>
      <c r="K169" s="14">
        <v>2</v>
      </c>
      <c r="L169" s="14">
        <f t="shared" si="7"/>
        <v>6</v>
      </c>
      <c r="M169" s="172">
        <f>SUM(L169:L170)</f>
        <v>15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 spans="1:41" ht="70.5" customHeight="1" x14ac:dyDescent="0.25">
      <c r="A170" s="174"/>
      <c r="B170" s="174"/>
      <c r="C170" s="174"/>
      <c r="D170" s="14" t="s">
        <v>46</v>
      </c>
      <c r="E170" s="14" t="s">
        <v>113</v>
      </c>
      <c r="F170" s="14">
        <v>3</v>
      </c>
      <c r="G170" s="14"/>
      <c r="H170" s="14"/>
      <c r="I170" s="14">
        <v>2</v>
      </c>
      <c r="J170" s="14">
        <v>2</v>
      </c>
      <c r="K170" s="14">
        <v>2</v>
      </c>
      <c r="L170" s="14">
        <f t="shared" si="7"/>
        <v>9</v>
      </c>
      <c r="M170" s="17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 spans="1:41" ht="69" customHeight="1" x14ac:dyDescent="0.85">
      <c r="A171" s="231">
        <v>4</v>
      </c>
      <c r="B171" s="232" t="s">
        <v>163</v>
      </c>
      <c r="C171" s="179" t="s">
        <v>56</v>
      </c>
      <c r="D171" s="14" t="s">
        <v>64</v>
      </c>
      <c r="E171" s="14" t="s">
        <v>124</v>
      </c>
      <c r="F171" s="74"/>
      <c r="G171" s="74"/>
      <c r="H171" s="74"/>
      <c r="I171" s="74"/>
      <c r="J171" s="14">
        <v>2</v>
      </c>
      <c r="K171" s="14"/>
      <c r="L171" s="14">
        <f t="shared" si="7"/>
        <v>2</v>
      </c>
      <c r="M171" s="205">
        <f>SUM(L171:L173)</f>
        <v>6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 spans="1:41" ht="69" customHeight="1" x14ac:dyDescent="0.85">
      <c r="A172" s="173"/>
      <c r="B172" s="173"/>
      <c r="C172" s="173"/>
      <c r="D172" s="14" t="s">
        <v>59</v>
      </c>
      <c r="E172" s="14" t="s">
        <v>124</v>
      </c>
      <c r="F172" s="74"/>
      <c r="G172" s="74"/>
      <c r="H172" s="74"/>
      <c r="I172" s="74"/>
      <c r="J172" s="14"/>
      <c r="K172" s="14">
        <v>2</v>
      </c>
      <c r="L172" s="14">
        <f t="shared" si="7"/>
        <v>2</v>
      </c>
      <c r="M172" s="17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 spans="1:41" ht="69" customHeight="1" x14ac:dyDescent="0.85">
      <c r="A173" s="174"/>
      <c r="B173" s="174"/>
      <c r="C173" s="174"/>
      <c r="D173" s="14" t="s">
        <v>46</v>
      </c>
      <c r="E173" s="14" t="s">
        <v>124</v>
      </c>
      <c r="F173" s="74"/>
      <c r="G173" s="74"/>
      <c r="H173" s="74"/>
      <c r="I173" s="74"/>
      <c r="J173" s="14">
        <v>2</v>
      </c>
      <c r="K173" s="14"/>
      <c r="L173" s="14">
        <f t="shared" si="7"/>
        <v>2</v>
      </c>
      <c r="M173" s="17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 spans="1:41" ht="69" customHeight="1" x14ac:dyDescent="0.85">
      <c r="A174" s="231">
        <v>5</v>
      </c>
      <c r="B174" s="232" t="s">
        <v>164</v>
      </c>
      <c r="C174" s="179" t="s">
        <v>56</v>
      </c>
      <c r="D174" s="14" t="s">
        <v>162</v>
      </c>
      <c r="E174" s="14" t="s">
        <v>113</v>
      </c>
      <c r="F174" s="74"/>
      <c r="G174" s="74"/>
      <c r="H174" s="74"/>
      <c r="I174" s="74"/>
      <c r="J174" s="14">
        <v>2</v>
      </c>
      <c r="K174" s="14"/>
      <c r="L174" s="14">
        <f t="shared" si="7"/>
        <v>2</v>
      </c>
      <c r="M174" s="205">
        <f>SUM(L174:L175)</f>
        <v>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 spans="1:41" ht="69" customHeight="1" x14ac:dyDescent="0.85">
      <c r="A175" s="174"/>
      <c r="B175" s="174"/>
      <c r="C175" s="174"/>
      <c r="D175" s="14" t="s">
        <v>46</v>
      </c>
      <c r="E175" s="14" t="s">
        <v>113</v>
      </c>
      <c r="F175" s="74"/>
      <c r="G175" s="74"/>
      <c r="H175" s="14">
        <v>2</v>
      </c>
      <c r="I175" s="74"/>
      <c r="J175" s="14"/>
      <c r="K175" s="14"/>
      <c r="L175" s="14">
        <f t="shared" si="7"/>
        <v>2</v>
      </c>
      <c r="M175" s="17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 spans="1:41" ht="69" customHeight="1" x14ac:dyDescent="0.85">
      <c r="A176" s="5"/>
      <c r="B176" s="72"/>
      <c r="C176" s="72"/>
      <c r="D176" s="72"/>
      <c r="E176" s="72"/>
      <c r="F176" s="72"/>
      <c r="G176" s="72"/>
      <c r="H176" s="72"/>
      <c r="I176" s="72"/>
      <c r="J176" s="227" t="s">
        <v>89</v>
      </c>
      <c r="K176" s="228"/>
      <c r="L176" s="229"/>
      <c r="M176" s="75">
        <f>SUM(M164:M175)</f>
        <v>48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 spans="1:41" ht="15.75" customHeight="1" x14ac:dyDescent="0.25">
      <c r="A177" s="5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 spans="1:41" ht="79.5" customHeight="1" x14ac:dyDescent="1.5">
      <c r="A178" s="5"/>
      <c r="B178" s="240" t="s">
        <v>165</v>
      </c>
      <c r="C178" s="214"/>
      <c r="D178" s="214"/>
      <c r="E178" s="214"/>
      <c r="F178" s="215"/>
      <c r="G178" s="72"/>
      <c r="H178" s="72"/>
      <c r="I178" s="72"/>
      <c r="J178" s="72"/>
      <c r="K178" s="72"/>
      <c r="L178" s="72"/>
      <c r="M178" s="72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 spans="1:41" ht="54" customHeight="1" x14ac:dyDescent="0.25">
      <c r="A179" s="5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 spans="1:41" ht="73.5" customHeight="1" x14ac:dyDescent="1">
      <c r="A180" s="30">
        <v>1</v>
      </c>
      <c r="B180" s="76" t="s">
        <v>30</v>
      </c>
      <c r="C180" s="77" t="s">
        <v>23</v>
      </c>
      <c r="D180" s="10" t="s">
        <v>166</v>
      </c>
      <c r="E180" s="10" t="s">
        <v>109</v>
      </c>
      <c r="F180" s="10">
        <v>2</v>
      </c>
      <c r="G180" s="10"/>
      <c r="H180" s="9"/>
      <c r="I180" s="9">
        <v>2</v>
      </c>
      <c r="J180" s="9"/>
      <c r="K180" s="9"/>
      <c r="L180" s="9">
        <f t="shared" ref="L180:L181" si="8">SUM(F180:K180)</f>
        <v>4</v>
      </c>
      <c r="M180" s="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 spans="1:41" ht="73.5" customHeight="1" x14ac:dyDescent="0.85">
      <c r="A181" s="30">
        <v>2</v>
      </c>
      <c r="B181" s="76" t="s">
        <v>167</v>
      </c>
      <c r="C181" s="40" t="s">
        <v>56</v>
      </c>
      <c r="D181" s="10" t="s">
        <v>166</v>
      </c>
      <c r="E181" s="10" t="s">
        <v>109</v>
      </c>
      <c r="F181" s="10"/>
      <c r="G181" s="10"/>
      <c r="H181" s="9">
        <v>2</v>
      </c>
      <c r="I181" s="9"/>
      <c r="J181" s="9"/>
      <c r="K181" s="9"/>
      <c r="L181" s="9">
        <f t="shared" si="8"/>
        <v>2</v>
      </c>
      <c r="M181" s="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 spans="1:41" ht="85.5" customHeight="1" x14ac:dyDescent="0.85">
      <c r="A182" s="2"/>
      <c r="B182" s="3"/>
      <c r="C182" s="3"/>
      <c r="D182" s="3"/>
      <c r="E182" s="3"/>
      <c r="F182" s="3"/>
      <c r="G182" s="3"/>
      <c r="H182" s="3"/>
      <c r="I182" s="227" t="s">
        <v>89</v>
      </c>
      <c r="J182" s="228"/>
      <c r="K182" s="229"/>
      <c r="L182" s="15">
        <f>SUM((L180:L181))</f>
        <v>6</v>
      </c>
      <c r="M182" s="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 spans="1:41" ht="15.75" customHeight="1" x14ac:dyDescent="0.8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 spans="1:41" ht="15.75" customHeight="1" x14ac:dyDescent="0.85">
      <c r="A184" s="2"/>
      <c r="B184" s="3"/>
      <c r="C184" s="18"/>
      <c r="D184" s="18"/>
      <c r="E184" s="3"/>
      <c r="F184" s="3"/>
      <c r="G184" s="3"/>
      <c r="H184" s="3"/>
      <c r="I184" s="3"/>
      <c r="J184" s="3"/>
      <c r="K184" s="3"/>
      <c r="L184" s="3"/>
      <c r="M184" s="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 spans="1:41" ht="116.25" customHeight="1" x14ac:dyDescent="0.85">
      <c r="A185" s="2"/>
      <c r="B185" s="3"/>
      <c r="C185" s="78" t="s">
        <v>90</v>
      </c>
      <c r="D185" s="79">
        <f>SUM(L9,L10,L17,L21,L25,L29,L33,L37,L42,L47,L57,L61,L66,L71,L75,L83,L89,L94,L99,L104,L109,L115,L119,L126,L133)</f>
        <v>59</v>
      </c>
      <c r="E185" s="80"/>
      <c r="F185" s="80"/>
      <c r="G185" s="80"/>
      <c r="H185" s="80"/>
      <c r="I185" s="227"/>
      <c r="J185" s="228"/>
      <c r="K185" s="229"/>
      <c r="L185" s="241">
        <f>SUM(L156,M176)</f>
        <v>548</v>
      </c>
      <c r="M185" s="242"/>
      <c r="N185" s="81"/>
      <c r="O185" s="81"/>
      <c r="P185" s="81"/>
      <c r="Q185" s="81"/>
      <c r="R185" s="68"/>
      <c r="S185" s="81"/>
      <c r="T185" s="81"/>
      <c r="U185" s="81"/>
      <c r="V185" s="82"/>
      <c r="W185" s="82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81.75" customHeight="1" x14ac:dyDescent="0.85">
      <c r="A186" s="2"/>
      <c r="B186" s="3"/>
      <c r="C186" s="83"/>
      <c r="D186" s="84"/>
      <c r="E186" s="80"/>
      <c r="F186" s="80"/>
      <c r="G186" s="80"/>
      <c r="H186" s="80"/>
      <c r="I186" s="227" t="s">
        <v>168</v>
      </c>
      <c r="J186" s="228"/>
      <c r="K186" s="229"/>
      <c r="L186" s="233">
        <v>6</v>
      </c>
      <c r="M186" s="234"/>
      <c r="N186" s="85"/>
      <c r="O186" s="85"/>
      <c r="P186" s="85"/>
      <c r="Q186" s="85"/>
      <c r="R186" s="85"/>
      <c r="S186" s="85"/>
      <c r="T186" s="85"/>
      <c r="U186" s="85"/>
      <c r="V186" s="82"/>
      <c r="W186" s="82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81.75" customHeight="1" x14ac:dyDescent="0.85">
      <c r="A187" s="2"/>
      <c r="B187" s="3"/>
      <c r="C187" s="86"/>
      <c r="D187" s="18"/>
      <c r="E187" s="74"/>
      <c r="F187" s="80"/>
      <c r="G187" s="80"/>
      <c r="H187" s="80"/>
      <c r="I187" s="230" t="s">
        <v>91</v>
      </c>
      <c r="J187" s="212"/>
      <c r="K187" s="211"/>
      <c r="L187" s="233">
        <f>M176</f>
        <v>48</v>
      </c>
      <c r="M187" s="234"/>
      <c r="N187" s="85"/>
      <c r="O187" s="85"/>
      <c r="P187" s="85"/>
      <c r="Q187" s="85"/>
      <c r="R187" s="85"/>
      <c r="S187" s="85"/>
      <c r="T187" s="85"/>
      <c r="U187" s="85"/>
      <c r="V187" s="82"/>
      <c r="W187" s="82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81.75" customHeight="1" x14ac:dyDescent="0.85">
      <c r="A188" s="3"/>
      <c r="B188" s="3"/>
      <c r="C188" s="3"/>
      <c r="D188" s="80"/>
      <c r="E188" s="80"/>
      <c r="F188" s="80"/>
      <c r="G188" s="80"/>
      <c r="H188" s="80"/>
      <c r="I188" s="227" t="s">
        <v>92</v>
      </c>
      <c r="J188" s="228"/>
      <c r="K188" s="229"/>
      <c r="L188" s="235">
        <f>L185-M176+L186</f>
        <v>506</v>
      </c>
      <c r="M188" s="234"/>
      <c r="N188" s="85"/>
      <c r="O188" s="85"/>
      <c r="P188" s="85"/>
      <c r="Q188" s="85"/>
      <c r="R188" s="85"/>
      <c r="S188" s="85"/>
      <c r="T188" s="85"/>
      <c r="U188" s="85"/>
      <c r="V188" s="82"/>
      <c r="W188" s="82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 x14ac:dyDescent="0.25">
      <c r="A189" s="5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 spans="1:41" ht="15.75" customHeight="1" x14ac:dyDescent="0.25">
      <c r="A190" s="5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 spans="1:41" ht="55.5" customHeight="1" x14ac:dyDescent="0.9">
      <c r="A191" s="5"/>
      <c r="B191" s="87" t="s">
        <v>169</v>
      </c>
      <c r="C191" s="87"/>
      <c r="D191" s="87"/>
      <c r="E191" s="88"/>
      <c r="F191" s="87"/>
      <c r="G191" s="88"/>
      <c r="H191" s="73"/>
      <c r="I191" s="73"/>
      <c r="J191" s="73"/>
      <c r="K191" s="73"/>
      <c r="L191" s="73"/>
      <c r="M191" s="73"/>
      <c r="N191" s="6"/>
      <c r="O191" s="6"/>
      <c r="P191" s="6"/>
      <c r="Q191" s="6"/>
      <c r="R191" s="6"/>
      <c r="S191" s="6"/>
      <c r="T191" s="6"/>
      <c r="U191" s="6"/>
      <c r="V191" s="6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 spans="1:41" ht="122.25" customHeight="1" x14ac:dyDescent="0.9">
      <c r="A192" s="5"/>
      <c r="B192" s="236"/>
      <c r="C192" s="212"/>
      <c r="D192" s="212"/>
      <c r="E192" s="212"/>
      <c r="F192" s="211"/>
      <c r="G192" s="89"/>
      <c r="H192" s="73"/>
      <c r="I192" s="73"/>
      <c r="J192" s="73"/>
      <c r="K192" s="73"/>
      <c r="L192" s="73"/>
      <c r="M192" s="73"/>
      <c r="N192" s="6"/>
      <c r="O192" s="6"/>
      <c r="P192" s="6"/>
      <c r="Q192" s="6"/>
      <c r="R192" s="6"/>
      <c r="S192" s="6"/>
      <c r="T192" s="6"/>
      <c r="U192" s="6"/>
      <c r="V192" s="6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 spans="1:41" ht="15.75" customHeight="1" x14ac:dyDescent="0.85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 spans="1:41" ht="15.75" customHeight="1" x14ac:dyDescent="0.85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 spans="1:41" ht="15.75" customHeight="1" x14ac:dyDescent="0.85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 spans="1:41" ht="211.5" customHeight="1" x14ac:dyDescent="0.45">
      <c r="A196" s="5"/>
      <c r="B196" s="237" t="s">
        <v>170</v>
      </c>
      <c r="C196" s="238"/>
      <c r="D196" s="91"/>
      <c r="E196" s="91"/>
      <c r="F196" s="90"/>
      <c r="G196" s="90" t="s">
        <v>93</v>
      </c>
      <c r="H196" s="90"/>
      <c r="I196" s="90"/>
      <c r="J196" s="90"/>
      <c r="K196" s="91"/>
      <c r="L196" s="92"/>
      <c r="M196" s="237" t="s">
        <v>171</v>
      </c>
      <c r="N196" s="238"/>
      <c r="O196" s="238"/>
      <c r="P196" s="238"/>
      <c r="Q196" s="238"/>
      <c r="R196" s="238"/>
      <c r="S196" s="238"/>
      <c r="T196" s="238"/>
      <c r="U196" s="238"/>
      <c r="V196" s="238"/>
      <c r="W196" s="7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 spans="1:41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 spans="1:41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 spans="1:41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 spans="1:41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 spans="1:41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 spans="1:41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 spans="1:41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 spans="1:41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spans="1:41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 spans="1:41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 spans="1:41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 spans="1:41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 spans="1:41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 spans="1:41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 spans="1:41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 spans="1:41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 spans="1:41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 spans="1:41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 spans="1:41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 spans="1:41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 spans="1:41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 spans="1:41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 spans="1:41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 spans="1:41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 spans="1:41" ht="15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 spans="1:41" ht="15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 spans="1:41" ht="15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 spans="1:41" ht="15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 spans="1:41" ht="15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 spans="1:41" ht="15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 spans="1:41" ht="15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 spans="1:41" ht="15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 spans="1:41" ht="15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 spans="1:41" ht="15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 spans="1:41" ht="15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 spans="1:41" ht="15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 spans="1:41" ht="15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 spans="1:41" ht="15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 spans="1:41" ht="15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 spans="1:41" ht="15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 spans="1:41" ht="15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 spans="1:41" ht="15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 spans="1:41" ht="15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 spans="1:41" ht="15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 spans="1:41" ht="15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 spans="1:41" ht="15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 spans="1:41" ht="15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 spans="1:41" ht="15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 spans="1:41" ht="15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 spans="1:41" ht="15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 spans="1:41" ht="15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 spans="1:41" ht="15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 spans="1:41" ht="15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 spans="1:41" ht="15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 spans="1:41" ht="15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 spans="1:41" ht="15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 spans="1:41" ht="15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 spans="1:41" ht="15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 spans="1:41" ht="15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 spans="1:41" ht="15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 spans="1:41" ht="15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 spans="1:41" ht="15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 spans="1:41" ht="15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 spans="1:41" ht="15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 spans="1:41" ht="15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 spans="1:41" ht="15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 spans="1:41" ht="15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 spans="1:41" ht="15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 spans="1:41" ht="15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 spans="1:41" ht="15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 spans="1:41" ht="15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 spans="1:41" ht="15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 spans="1:41" ht="15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 spans="1:41" ht="15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 spans="1:41" ht="15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 spans="1:41" ht="15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 spans="1:41" ht="15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 spans="1:41" ht="15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 spans="1:41" ht="15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 spans="1:41" ht="15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 spans="1:41" ht="15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 spans="1:41" ht="15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 spans="1:41" ht="15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 spans="1:41" ht="15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 spans="1:41" ht="15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 spans="1:41" ht="15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 spans="1:41" ht="15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 spans="1:41" ht="15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 spans="1:41" ht="15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 spans="1:41" ht="15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 spans="1:41" ht="15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 spans="1:41" ht="15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 spans="1:41" ht="15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 spans="1:41" ht="15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 spans="1:41" ht="15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 spans="1:41" ht="15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 spans="1:41" ht="15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 spans="1:41" ht="15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 spans="1:41" ht="15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 spans="1:41" ht="15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 spans="1:41" ht="15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 spans="1:41" ht="15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 spans="1:41" ht="15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 spans="1:41" ht="15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 spans="1:41" ht="15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 spans="1:41" ht="15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 spans="1:41" ht="15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 spans="1:41" ht="15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 spans="1:41" ht="15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 spans="1:41" ht="15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 spans="1:41" ht="15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 spans="1:41" ht="15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 spans="1:41" ht="15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 spans="1:41" ht="15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 spans="1:41" ht="15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 spans="1:41" ht="15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 spans="1:41" ht="15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 spans="1:41" ht="15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 spans="1:41" ht="15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 spans="1:41" ht="15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 spans="1:41" ht="15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 spans="1:41" ht="15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 spans="1:41" ht="15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 spans="1:41" ht="15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 spans="1:41" ht="15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 spans="1:41" ht="15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 spans="1:41" ht="15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 spans="1:41" ht="15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 spans="1:41" ht="15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 spans="1:41" ht="15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 spans="1:41" ht="15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 spans="1:41" ht="15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 spans="1:41" ht="15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 spans="1:41" ht="15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 spans="1:41" ht="15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 spans="1:41" ht="15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 spans="1:41" ht="15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 spans="1:41" ht="15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 spans="1:41" ht="15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 spans="1:41" ht="15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 spans="1:41" ht="15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 spans="1:41" ht="15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 spans="1:41" ht="15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 spans="1:41" ht="15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 spans="1:41" ht="15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 spans="1:41" ht="15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 spans="1:41" ht="15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 spans="1:41" ht="15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 spans="1:41" ht="15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 spans="1:41" ht="15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 spans="1:41" ht="15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 spans="1:41" ht="15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 spans="1:41" ht="15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 spans="1:41" ht="15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 spans="1:41" ht="15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 spans="1:41" ht="15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 spans="1:41" ht="15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 spans="1:41" ht="15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 spans="1:41" ht="15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 spans="1:41" ht="15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 spans="1:41" ht="15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 spans="1:41" ht="15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 spans="1:41" ht="15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 spans="1:41" ht="15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 spans="1:41" ht="15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 spans="1:41" ht="15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 spans="1:41" ht="15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 spans="1:41" ht="15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 spans="1:41" ht="15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 spans="1:41" ht="15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 spans="1:41" ht="15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 spans="1:41" ht="15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 spans="1:41" ht="15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 spans="1:41" ht="15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 spans="1:41" ht="15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 spans="1:41" ht="15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 spans="1:41" ht="15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 spans="1:41" ht="15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 spans="1:41" ht="15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 spans="1:41" ht="15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 spans="1:41" ht="15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 spans="1:41" ht="15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 spans="1:41" ht="15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 spans="1:41" ht="15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 spans="1:41" ht="15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 spans="1:41" ht="15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 spans="1:41" ht="15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 spans="1:41" ht="15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 spans="1:41" ht="15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 spans="1:41" ht="15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 spans="1:41" ht="15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 spans="1:41" ht="15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 spans="1:41" ht="15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 spans="1:41" ht="15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 spans="1:41" ht="15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 spans="1:41" ht="15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 spans="1:41" ht="15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 spans="1:41" ht="15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 spans="1:41" ht="15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 spans="1:41" ht="15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 spans="1:41" ht="15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 spans="1:41" ht="15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 spans="1:41" ht="15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 spans="1:41" ht="15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 spans="1:41" ht="15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 spans="1:41" ht="15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 spans="1:41" ht="15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 spans="1:41" ht="15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 spans="1:41" ht="15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 spans="1:41" ht="15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 spans="1:41" ht="15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 spans="1:41" ht="15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 spans="1:41" ht="15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 spans="1:41" ht="15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 spans="1:41" ht="15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 spans="1:41" ht="15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 spans="1:41" ht="15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 spans="1:41" ht="15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 spans="1:41" ht="15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 spans="1:41" ht="15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 spans="1:41" ht="15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 spans="1:41" ht="15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 spans="1:41" ht="15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 spans="1:41" ht="15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 spans="1:41" ht="15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 spans="1:41" ht="15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 spans="1:41" ht="15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 spans="1:41" ht="15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 spans="1:41" ht="15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 spans="1:41" ht="15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 spans="1:41" ht="15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 spans="1:41" ht="15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 spans="1:41" ht="15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 spans="1:41" ht="15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 spans="1:41" ht="15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 spans="1:41" ht="15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 spans="1:41" ht="15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 spans="1:41" ht="15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 spans="1:41" ht="15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 spans="1:41" ht="15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 spans="1:41" ht="15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 spans="1:41" ht="15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 spans="1:41" ht="15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 spans="1:41" ht="15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 spans="1:41" ht="15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 spans="1:41" ht="15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 spans="1:41" ht="15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 spans="1:41" ht="15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 spans="1:41" ht="15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 spans="1:41" ht="15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 spans="1:41" ht="15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 spans="1:41" ht="15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 spans="1:41" ht="15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 spans="1:41" ht="15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 spans="1:41" ht="15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 spans="1:41" ht="15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 spans="1:41" ht="15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 spans="1:41" ht="15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 spans="1:41" ht="15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 spans="1:41" ht="15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 spans="1:41" ht="15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 spans="1:41" ht="15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 spans="1:41" ht="15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 spans="1:41" ht="15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 spans="1:41" ht="15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 spans="1:41" ht="15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 spans="1:41" ht="15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 spans="1:41" ht="15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 spans="1:41" ht="15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 spans="1:41" ht="15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 spans="1:41" ht="15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 spans="1:41" ht="15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 spans="1:41" ht="15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 spans="1:41" ht="15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 spans="1:41" ht="15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 spans="1:41" ht="15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 spans="1:41" ht="15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 spans="1:41" ht="15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 spans="1:41" ht="15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 spans="1:41" ht="15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 spans="1:41" ht="15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 spans="1:41" ht="15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 spans="1:41" ht="15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 spans="1:41" ht="15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 spans="1:41" ht="15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 spans="1:41" ht="15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 spans="1:41" ht="15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 spans="1:41" ht="15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 spans="1:41" ht="15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 spans="1:41" ht="15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 spans="1:41" ht="15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 spans="1:41" ht="15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 spans="1:41" ht="15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 spans="1:41" ht="15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 spans="1:41" ht="15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 spans="1:41" ht="15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 spans="1:41" ht="15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 spans="1:41" ht="15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 spans="1:41" ht="15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 spans="1:41" ht="15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 spans="1:41" ht="15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 spans="1:41" ht="15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 spans="1:41" ht="15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 spans="1:41" ht="15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 spans="1:41" ht="15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 spans="1:41" ht="15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 spans="1:41" ht="15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 spans="1:41" ht="15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 spans="1:41" ht="15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 spans="1:41" ht="15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 spans="1:41" ht="15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 spans="1:41" ht="15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 spans="1:41" ht="15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 spans="1:41" ht="15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 spans="1:41" ht="15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 spans="1:41" ht="15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 spans="1:41" ht="15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 spans="1:41" ht="15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 spans="1:41" ht="15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 spans="1:41" ht="15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 spans="1:41" ht="15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 spans="1:41" ht="15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 spans="1:41" ht="15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 spans="1:41" ht="15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 spans="1:41" ht="15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 spans="1:41" ht="15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 spans="1:41" ht="15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 spans="1:41" ht="15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 spans="1:41" ht="15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 spans="1:41" ht="15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 spans="1:41" ht="15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 spans="1:41" ht="15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 spans="1:41" ht="15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 spans="1:41" ht="15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 spans="1:41" ht="15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 spans="1:41" ht="15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 spans="1:41" ht="15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 spans="1:41" ht="15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 spans="1:41" ht="15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 spans="1:41" ht="15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 spans="1:41" ht="15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 spans="1:41" ht="15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 spans="1:41" ht="15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 spans="1:41" ht="15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 spans="1:41" ht="15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 spans="1:41" ht="15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 spans="1:41" ht="15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 spans="1:41" ht="15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 spans="1:41" ht="15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 spans="1:41" ht="15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 spans="1:41" ht="15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 spans="1:41" ht="15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 spans="1:41" ht="15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 spans="1:41" ht="15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 spans="1:41" ht="15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 spans="1:41" ht="15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 spans="1:41" ht="15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 spans="1:41" ht="15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 spans="1:41" ht="15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 spans="1:41" ht="15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 spans="1:41" ht="15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 spans="1:41" ht="15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 spans="1:41" ht="15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 spans="1:41" ht="15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 spans="1:41" ht="15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 spans="1:41" ht="15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 spans="1:41" ht="15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 spans="1:41" ht="15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 spans="1:41" ht="15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 spans="1:41" ht="15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 spans="1:41" ht="15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 spans="1:41" ht="15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 spans="1:41" ht="15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 spans="1:41" ht="15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 spans="1:41" ht="15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 spans="1:41" ht="15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 spans="1:41" ht="15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 spans="1:41" ht="15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 spans="1:41" ht="15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 spans="1:41" ht="15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 spans="1:41" ht="15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 spans="1:41" ht="15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 spans="1:41" ht="15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 spans="1:41" ht="15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 spans="1:41" ht="15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 spans="1:41" ht="15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 spans="1:41" ht="15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 spans="1:41" ht="15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 spans="1:41" ht="15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 spans="1:41" ht="15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 spans="1:41" ht="15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 spans="1:41" ht="15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 spans="1:41" ht="15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 spans="1:41" ht="15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 spans="1:41" ht="15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 spans="1:41" ht="15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 spans="1:41" ht="15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 spans="1:41" ht="15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 spans="1:41" ht="15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 spans="1:41" ht="15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 spans="1:41" ht="15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 spans="1:41" ht="15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 spans="1:41" ht="15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 spans="1:41" ht="15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 spans="1:41" ht="15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 spans="1:41" ht="15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 spans="1:41" ht="15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 spans="1:41" ht="15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 spans="1:41" ht="15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 spans="1:41" ht="15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 spans="1:41" ht="15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 spans="1:41" ht="15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 spans="1:41" ht="15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 spans="1:41" ht="15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 spans="1:41" ht="15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 spans="1:41" ht="15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 spans="1:41" ht="15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 spans="1:41" ht="15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 spans="1:41" ht="15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 spans="1:41" ht="15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 spans="1:41" ht="15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 spans="1:41" ht="15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 spans="1:41" ht="15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 spans="1:41" ht="15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 spans="1:41" ht="15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 spans="1:41" ht="15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 spans="1:41" ht="15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 spans="1:41" ht="15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 spans="1:41" ht="15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 spans="1:41" ht="15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 spans="1:41" ht="15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 spans="1:41" ht="15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 spans="1:41" ht="15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 spans="1:41" ht="15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 spans="1:41" ht="15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 spans="1:41" ht="15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 spans="1:41" ht="15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 spans="1:41" ht="15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 spans="1:41" ht="15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 spans="1:41" ht="15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 spans="1:41" ht="15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 spans="1:41" ht="15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 spans="1:41" ht="15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 spans="1:41" ht="15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 spans="1:41" ht="15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 spans="1:41" ht="15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 spans="1:41" ht="15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 spans="1:41" ht="15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 spans="1:41" ht="15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 spans="1:41" ht="15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 spans="1:41" ht="15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 spans="1:41" ht="15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 spans="1:41" ht="15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 spans="1:41" ht="15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 spans="1:41" ht="15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 spans="1:41" ht="15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 spans="1:41" ht="15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 spans="1:41" ht="15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 spans="1:41" ht="15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 spans="1:41" ht="15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 spans="1:41" ht="15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 spans="1:41" ht="15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 spans="1:41" ht="15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 spans="1:41" ht="15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 spans="1:41" ht="15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 spans="1:41" ht="15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 spans="1:41" ht="15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 spans="1:41" ht="15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 spans="1:41" ht="15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 spans="1:41" ht="15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 spans="1:41" ht="15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 spans="1:41" ht="15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 spans="1:41" ht="15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 spans="1:41" ht="15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 spans="1:41" ht="15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 spans="1:41" ht="15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 spans="1:41" ht="15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 spans="1:41" ht="15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 spans="1:41" ht="15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 spans="1:41" ht="15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 spans="1:41" ht="15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 spans="1:41" ht="15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 spans="1:41" ht="15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 spans="1:41" ht="15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 spans="1:41" ht="15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 spans="1:41" ht="15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 spans="1:41" ht="15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 spans="1:41" ht="15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 spans="1:41" ht="15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 spans="1:41" ht="15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 spans="1:41" ht="15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 spans="1:41" ht="15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 spans="1:41" ht="15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 spans="1:41" ht="15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 spans="1:41" ht="15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 spans="1:41" ht="15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 spans="1:41" ht="15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 spans="1:41" ht="15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 spans="1:41" ht="15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 spans="1:41" ht="15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 spans="1:41" ht="15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 spans="1:41" ht="15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 spans="1:41" ht="15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 spans="1:41" ht="15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 spans="1:41" ht="15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 spans="1:41" ht="15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 spans="1:41" ht="15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 spans="1:41" ht="15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 spans="1:41" ht="15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 spans="1:41" ht="15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 spans="1:41" ht="15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 spans="1:41" ht="15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 spans="1:41" ht="15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 spans="1:41" ht="15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 spans="1:41" ht="15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 spans="1:41" ht="15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 spans="1:41" ht="15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 spans="1:41" ht="15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 spans="1:41" ht="15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 spans="1:41" ht="15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 spans="1:41" ht="15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 spans="1:41" ht="15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 spans="1:41" ht="15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 spans="1:41" ht="15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 spans="1:41" ht="15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 spans="1:41" ht="15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 spans="1:41" ht="15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 spans="1:41" ht="15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 spans="1:41" ht="15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 spans="1:41" ht="15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 spans="1:41" ht="15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 spans="1:41" ht="15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 spans="1:41" ht="15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 spans="1:41" ht="15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 spans="1:41" ht="15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 spans="1:41" ht="15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 spans="1:41" ht="15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 spans="1:41" ht="15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 spans="1:41" ht="15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 spans="1:41" ht="15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 spans="1:41" ht="15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 spans="1:41" ht="15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 spans="1:41" ht="15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 spans="1:41" ht="15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 spans="1:41" ht="15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 spans="1:41" ht="15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 spans="1:41" ht="15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 spans="1:41" ht="15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 spans="1:41" ht="15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 spans="1:41" ht="15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 spans="1:41" ht="15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 spans="1:41" ht="15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 spans="1:41" ht="15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 spans="1:41" ht="15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 spans="1:41" ht="15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 spans="1:41" ht="15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 spans="1:41" ht="15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 spans="1:41" ht="15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 spans="1:41" ht="15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 spans="1:41" ht="15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 spans="1:41" ht="15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 spans="1:41" ht="15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 spans="1:41" ht="15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 spans="1:41" ht="15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 spans="1:41" ht="15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 spans="1:41" ht="15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 spans="1:41" ht="15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 spans="1:41" ht="15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 spans="1:41" ht="15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 spans="1:41" ht="15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 spans="1:41" ht="15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 spans="1:41" ht="15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 spans="1:41" ht="15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 spans="1:41" ht="15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 spans="1:41" ht="15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 spans="1:41" ht="15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 spans="1:41" ht="15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 spans="1:41" ht="15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 spans="1:41" ht="15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 spans="1:41" ht="15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 spans="1:41" ht="15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 spans="1:41" ht="15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 spans="1:41" ht="15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 spans="1:41" ht="15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 spans="1:41" ht="15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 spans="1:41" ht="15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 spans="1:41" ht="15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 spans="1:41" ht="15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 spans="1:41" ht="15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 spans="1:41" ht="15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 spans="1:41" ht="15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 spans="1:41" ht="15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 spans="1:41" ht="15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 spans="1:41" ht="15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 spans="1:41" ht="15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 spans="1:41" ht="15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 spans="1:41" ht="15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 spans="1:41" ht="15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 spans="1:41" ht="15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 spans="1:41" ht="15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 spans="1:41" ht="15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 spans="1:41" ht="15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 spans="1:41" ht="15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 spans="1:41" ht="15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 spans="1:41" ht="15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 spans="1:41" ht="15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 spans="1:41" ht="15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 spans="1:41" ht="15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 spans="1:41" ht="15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 spans="1:41" ht="15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 spans="1:41" ht="15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 spans="1:41" ht="15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 spans="1:41" ht="15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 spans="1:41" ht="15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 spans="1:41" ht="15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 spans="1:41" ht="15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 spans="1:41" ht="15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 spans="1:41" ht="15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 spans="1:41" ht="15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 spans="1:41" ht="15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 spans="1:41" ht="15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 spans="1:41" ht="15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 spans="1:41" ht="15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 spans="1:41" ht="15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 spans="1:41" ht="15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 spans="1:41" ht="15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 spans="1:41" ht="15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 spans="1:41" ht="15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 spans="1:41" ht="15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 spans="1:41" ht="15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 spans="1:41" ht="15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 spans="1:41" ht="15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 spans="1:41" ht="15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 spans="1:41" ht="15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 spans="1:41" ht="15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 spans="1:41" ht="15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 spans="1:41" ht="15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 spans="1:41" ht="15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 spans="1:41" ht="15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 spans="1:41" ht="15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 spans="1:41" ht="15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 spans="1:41" ht="15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 spans="1:41" ht="15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 spans="1:41" ht="15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 spans="1:41" ht="15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 spans="1:41" ht="15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 spans="1:41" ht="15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 spans="1:41" ht="15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 spans="1:41" ht="15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 spans="1:41" ht="15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 spans="1:41" ht="15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 spans="1:41" ht="15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 spans="1:41" ht="15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 spans="1:41" ht="15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 spans="1:41" ht="15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 spans="1:41" ht="15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 spans="1:41" ht="15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 spans="1:41" ht="15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 spans="1:41" ht="15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 spans="1:41" ht="15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 spans="1:41" ht="15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 spans="1:41" ht="15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 spans="1:41" ht="15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 spans="1:41" ht="15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 spans="1:41" ht="15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 spans="1:41" ht="15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 spans="1:41" ht="15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 spans="1:41" ht="15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 spans="1:41" ht="15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 spans="1:41" ht="15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 spans="1:41" ht="15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 spans="1:41" ht="15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 spans="1:41" ht="15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 spans="1:41" ht="15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 spans="1:41" ht="15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 spans="1:41" ht="15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 spans="1:41" ht="15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 spans="1:41" ht="15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 spans="1:41" ht="15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 spans="1:41" ht="15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 spans="1:41" ht="15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 spans="1:41" ht="15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 spans="1:41" ht="15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 spans="1:41" ht="15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 spans="1:41" ht="15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 spans="1:41" ht="15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 spans="1:41" ht="15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 spans="1:41" ht="15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 spans="1:41" ht="15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 spans="1:41" ht="15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 spans="1:41" ht="15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 spans="1:41" ht="15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 spans="1:41" ht="15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 spans="1:41" ht="15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 spans="1:41" ht="15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 spans="1:41" ht="15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 spans="1:41" ht="15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 spans="1:41" ht="15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 spans="1:41" ht="15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 spans="1:41" ht="15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 spans="1:41" ht="15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 spans="1:41" ht="15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 spans="1:41" ht="15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 spans="1:41" ht="15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 spans="1:41" ht="15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 spans="1:41" ht="15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 spans="1:41" ht="15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 spans="1:41" ht="15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 spans="1:41" ht="15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 spans="1:41" ht="15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 spans="1:41" ht="15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 spans="1:41" ht="15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 spans="1:41" ht="15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 spans="1:41" ht="15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 spans="1:41" ht="15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 spans="1:41" ht="15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 spans="1:41" ht="15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 spans="1:41" ht="15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 spans="1:41" ht="15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 spans="1:41" ht="15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 spans="1:41" ht="15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 spans="1:41" ht="15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 spans="1:41" ht="15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 spans="1:41" ht="15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 spans="1:41" ht="15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 spans="1:41" ht="15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 spans="1:41" ht="15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 spans="1:41" ht="15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 spans="1:41" ht="15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 spans="1:41" ht="15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 spans="1:41" ht="15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 spans="1:41" ht="15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 spans="1:41" ht="15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 spans="1:41" ht="15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 spans="1:41" ht="15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 spans="1:41" ht="15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 spans="1:41" ht="15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 spans="1:41" ht="15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 spans="1:41" ht="15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 spans="1:41" ht="15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 spans="1:41" ht="15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 spans="1:41" ht="15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 spans="1:41" ht="15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 spans="1:41" ht="15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 spans="1:41" ht="15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 spans="1:41" ht="15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 spans="1:41" ht="15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 spans="1:41" ht="15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 spans="1:41" ht="15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 spans="1:41" ht="15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 spans="1:41" ht="15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 spans="1:41" ht="15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 spans="1:41" ht="15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 spans="1:41" ht="15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 spans="1:41" ht="15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 spans="1:41" ht="15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 spans="1:41" ht="15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 spans="1:41" ht="15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 spans="1:41" ht="15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 spans="1:41" ht="15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 spans="1:41" ht="15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 spans="1:41" ht="15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 spans="1:41" ht="15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 spans="1:41" ht="15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 spans="1:41" ht="15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 spans="1:41" ht="15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 spans="1:41" ht="15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 spans="1:41" ht="15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 spans="1:41" ht="15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 spans="1:41" ht="15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 spans="1:41" ht="15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 spans="1:41" ht="15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 spans="1:41" ht="15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 spans="1:41" ht="15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 spans="1:41" ht="15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 spans="1:41" ht="15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 spans="1:41" ht="15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 spans="1:41" ht="15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 spans="1:41" ht="15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 spans="1:41" ht="15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 spans="1:41" ht="15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 spans="1:41" ht="15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 spans="1:41" ht="15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 spans="1:41" ht="15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 spans="1:41" ht="15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 spans="1:41" ht="15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 spans="1:41" ht="15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 spans="1:41" ht="15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 spans="1:41" ht="15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 spans="1:41" ht="15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 spans="1:41" ht="15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 spans="1:41" ht="15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 spans="1:41" ht="15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 spans="1:41" ht="15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 spans="1:41" ht="15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 spans="1:41" ht="15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 spans="1:41" ht="15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 spans="1:41" ht="15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 spans="1:41" ht="15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 spans="1:41" ht="15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 spans="1:41" ht="15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 spans="1:41" ht="15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 spans="1:41" ht="15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 spans="1:41" ht="15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</sheetData>
  <mergeCells count="301">
    <mergeCell ref="L187:M187"/>
    <mergeCell ref="I188:K188"/>
    <mergeCell ref="L188:M188"/>
    <mergeCell ref="B192:F192"/>
    <mergeCell ref="M196:V196"/>
    <mergeCell ref="B163:F163"/>
    <mergeCell ref="J176:L176"/>
    <mergeCell ref="B178:F178"/>
    <mergeCell ref="I182:K182"/>
    <mergeCell ref="I185:K185"/>
    <mergeCell ref="L185:M185"/>
    <mergeCell ref="L186:M186"/>
    <mergeCell ref="M174:M175"/>
    <mergeCell ref="B196:C196"/>
    <mergeCell ref="A100:A104"/>
    <mergeCell ref="B100:B104"/>
    <mergeCell ref="C100:C104"/>
    <mergeCell ref="A105:A109"/>
    <mergeCell ref="B105:B109"/>
    <mergeCell ref="C105:C109"/>
    <mergeCell ref="A110:A115"/>
    <mergeCell ref="I186:K186"/>
    <mergeCell ref="I187:K187"/>
    <mergeCell ref="A171:A173"/>
    <mergeCell ref="B171:B173"/>
    <mergeCell ref="C171:C173"/>
    <mergeCell ref="A174:A175"/>
    <mergeCell ref="B174:B175"/>
    <mergeCell ref="C174:C175"/>
    <mergeCell ref="B134:B137"/>
    <mergeCell ref="C134:C137"/>
    <mergeCell ref="A138:A141"/>
    <mergeCell ref="B138:B141"/>
    <mergeCell ref="C138:C141"/>
    <mergeCell ref="A142:A145"/>
    <mergeCell ref="V134:V137"/>
    <mergeCell ref="V138:V141"/>
    <mergeCell ref="V155:V157"/>
    <mergeCell ref="W155:W157"/>
    <mergeCell ref="R120:R126"/>
    <mergeCell ref="R127:R133"/>
    <mergeCell ref="V127:V133"/>
    <mergeCell ref="W127:W133"/>
    <mergeCell ref="R134:R136"/>
    <mergeCell ref="W134:W137"/>
    <mergeCell ref="R138:R141"/>
    <mergeCell ref="W138:W141"/>
    <mergeCell ref="B95:B99"/>
    <mergeCell ref="C95:C99"/>
    <mergeCell ref="A85:A89"/>
    <mergeCell ref="B85:B89"/>
    <mergeCell ref="C85:C89"/>
    <mergeCell ref="A90:A94"/>
    <mergeCell ref="B90:B94"/>
    <mergeCell ref="C90:C94"/>
    <mergeCell ref="A95:A99"/>
    <mergeCell ref="B78:B83"/>
    <mergeCell ref="C78:C83"/>
    <mergeCell ref="A67:A71"/>
    <mergeCell ref="B67:B71"/>
    <mergeCell ref="C67:C71"/>
    <mergeCell ref="A72:A77"/>
    <mergeCell ref="B72:B77"/>
    <mergeCell ref="C72:C77"/>
    <mergeCell ref="A78:A83"/>
    <mergeCell ref="R32:R33"/>
    <mergeCell ref="A34:A37"/>
    <mergeCell ref="B34:B37"/>
    <mergeCell ref="C34:C37"/>
    <mergeCell ref="M34:M37"/>
    <mergeCell ref="N34:N37"/>
    <mergeCell ref="V34:V37"/>
    <mergeCell ref="W34:W37"/>
    <mergeCell ref="A30:A33"/>
    <mergeCell ref="B30:B33"/>
    <mergeCell ref="C30:C33"/>
    <mergeCell ref="M30:M33"/>
    <mergeCell ref="A7:A9"/>
    <mergeCell ref="B7:B9"/>
    <mergeCell ref="C7:C9"/>
    <mergeCell ref="B10:B11"/>
    <mergeCell ref="C10:C11"/>
    <mergeCell ref="B26:B29"/>
    <mergeCell ref="C26:C29"/>
    <mergeCell ref="M26:M29"/>
    <mergeCell ref="N26:N29"/>
    <mergeCell ref="N18:N21"/>
    <mergeCell ref="N22:N25"/>
    <mergeCell ref="M7:M9"/>
    <mergeCell ref="N7:N9"/>
    <mergeCell ref="A22:A25"/>
    <mergeCell ref="B22:B25"/>
    <mergeCell ref="C22:C25"/>
    <mergeCell ref="A26:A29"/>
    <mergeCell ref="A10:A11"/>
    <mergeCell ref="A12:A13"/>
    <mergeCell ref="B12:B13"/>
    <mergeCell ref="C12:C13"/>
    <mergeCell ref="A14:A17"/>
    <mergeCell ref="B14:B17"/>
    <mergeCell ref="C14:C17"/>
    <mergeCell ref="N4:O4"/>
    <mergeCell ref="P4:T4"/>
    <mergeCell ref="A1:W1"/>
    <mergeCell ref="A2:W2"/>
    <mergeCell ref="A3:W3"/>
    <mergeCell ref="A4:A6"/>
    <mergeCell ref="B4:B6"/>
    <mergeCell ref="C4:C6"/>
    <mergeCell ref="D4:D6"/>
    <mergeCell ref="E4:E6"/>
    <mergeCell ref="F4:F6"/>
    <mergeCell ref="W4:W6"/>
    <mergeCell ref="N5:N6"/>
    <mergeCell ref="O5:O6"/>
    <mergeCell ref="P5:R5"/>
    <mergeCell ref="L4:L6"/>
    <mergeCell ref="M4:M6"/>
    <mergeCell ref="G4:G6"/>
    <mergeCell ref="H4:K4"/>
    <mergeCell ref="H5:H6"/>
    <mergeCell ref="I5:I6"/>
    <mergeCell ref="J5:J6"/>
    <mergeCell ref="K5:K6"/>
    <mergeCell ref="M22:M25"/>
    <mergeCell ref="N138:N141"/>
    <mergeCell ref="M171:M173"/>
    <mergeCell ref="M78:M83"/>
    <mergeCell ref="N78:N83"/>
    <mergeCell ref="M85:M89"/>
    <mergeCell ref="N85:N89"/>
    <mergeCell ref="M90:M94"/>
    <mergeCell ref="N90:N94"/>
    <mergeCell ref="M95:M99"/>
    <mergeCell ref="N95:N99"/>
    <mergeCell ref="M100:M104"/>
    <mergeCell ref="N100:N104"/>
    <mergeCell ref="M142:M145"/>
    <mergeCell ref="M146:M151"/>
    <mergeCell ref="M152:M154"/>
    <mergeCell ref="M155:M157"/>
    <mergeCell ref="M164:M166"/>
    <mergeCell ref="M167:M168"/>
    <mergeCell ref="M169:M170"/>
    <mergeCell ref="M134:M137"/>
    <mergeCell ref="M138:M141"/>
    <mergeCell ref="N53:N57"/>
    <mergeCell ref="M58:M62"/>
    <mergeCell ref="N58:N62"/>
    <mergeCell ref="M63:M66"/>
    <mergeCell ref="N63:N66"/>
    <mergeCell ref="N67:N71"/>
    <mergeCell ref="M67:M71"/>
    <mergeCell ref="M72:M77"/>
    <mergeCell ref="N72:N77"/>
    <mergeCell ref="M105:M109"/>
    <mergeCell ref="M53:M57"/>
    <mergeCell ref="M38:M42"/>
    <mergeCell ref="N38:N42"/>
    <mergeCell ref="M43:M47"/>
    <mergeCell ref="N43:N47"/>
    <mergeCell ref="M48:M52"/>
    <mergeCell ref="N30:N33"/>
    <mergeCell ref="W10:W11"/>
    <mergeCell ref="V12:V13"/>
    <mergeCell ref="W12:W13"/>
    <mergeCell ref="M10:M11"/>
    <mergeCell ref="N10:N11"/>
    <mergeCell ref="M12:M13"/>
    <mergeCell ref="N12:N13"/>
    <mergeCell ref="M14:M17"/>
    <mergeCell ref="N14:N17"/>
    <mergeCell ref="R28:R29"/>
    <mergeCell ref="R38:R42"/>
    <mergeCell ref="R43:R47"/>
    <mergeCell ref="R14:R17"/>
    <mergeCell ref="V14:V17"/>
    <mergeCell ref="W14:W17"/>
    <mergeCell ref="V18:V21"/>
    <mergeCell ref="M18:M21"/>
    <mergeCell ref="W18:W21"/>
    <mergeCell ref="W22:W25"/>
    <mergeCell ref="P7:P9"/>
    <mergeCell ref="Q7:Q9"/>
    <mergeCell ref="R7:R9"/>
    <mergeCell ref="U4:U6"/>
    <mergeCell ref="V4:V6"/>
    <mergeCell ref="T7:T9"/>
    <mergeCell ref="V7:V9"/>
    <mergeCell ref="W7:W9"/>
    <mergeCell ref="V10:V11"/>
    <mergeCell ref="S7:S9"/>
    <mergeCell ref="V22:V25"/>
    <mergeCell ref="B63:B66"/>
    <mergeCell ref="C63:C66"/>
    <mergeCell ref="A53:A57"/>
    <mergeCell ref="B53:B57"/>
    <mergeCell ref="C53:C57"/>
    <mergeCell ref="A58:A62"/>
    <mergeCell ref="B58:B62"/>
    <mergeCell ref="C58:C62"/>
    <mergeCell ref="A63:A66"/>
    <mergeCell ref="B48:B52"/>
    <mergeCell ref="C48:C52"/>
    <mergeCell ref="A38:A42"/>
    <mergeCell ref="B38:B42"/>
    <mergeCell ref="C38:C42"/>
    <mergeCell ref="A43:A47"/>
    <mergeCell ref="B43:B47"/>
    <mergeCell ref="C43:C47"/>
    <mergeCell ref="A48:A52"/>
    <mergeCell ref="A18:A21"/>
    <mergeCell ref="B18:B21"/>
    <mergeCell ref="C18:C21"/>
    <mergeCell ref="B169:B170"/>
    <mergeCell ref="C169:C170"/>
    <mergeCell ref="A164:A166"/>
    <mergeCell ref="B164:B166"/>
    <mergeCell ref="C164:C166"/>
    <mergeCell ref="A167:A168"/>
    <mergeCell ref="B167:B168"/>
    <mergeCell ref="C167:C168"/>
    <mergeCell ref="A169:A170"/>
    <mergeCell ref="B155:B157"/>
    <mergeCell ref="C155:C157"/>
    <mergeCell ref="A146:A151"/>
    <mergeCell ref="B146:B151"/>
    <mergeCell ref="C146:C151"/>
    <mergeCell ref="A152:A154"/>
    <mergeCell ref="B152:B154"/>
    <mergeCell ref="C152:C154"/>
    <mergeCell ref="A155:A157"/>
    <mergeCell ref="B142:B145"/>
    <mergeCell ref="C142:C145"/>
    <mergeCell ref="A134:A137"/>
    <mergeCell ref="W110:W115"/>
    <mergeCell ref="B127:B133"/>
    <mergeCell ref="C127:C133"/>
    <mergeCell ref="A116:A119"/>
    <mergeCell ref="B116:B119"/>
    <mergeCell ref="C116:C119"/>
    <mergeCell ref="A120:A126"/>
    <mergeCell ref="B120:B126"/>
    <mergeCell ref="C120:C126"/>
    <mergeCell ref="A127:A133"/>
    <mergeCell ref="B110:B115"/>
    <mergeCell ref="C110:C115"/>
    <mergeCell ref="R116:R119"/>
    <mergeCell ref="V116:V119"/>
    <mergeCell ref="W116:W119"/>
    <mergeCell ref="V120:V126"/>
    <mergeCell ref="W120:W126"/>
    <mergeCell ref="R110:R115"/>
    <mergeCell ref="M116:M119"/>
    <mergeCell ref="M120:M126"/>
    <mergeCell ref="M127:M133"/>
    <mergeCell ref="M110:M115"/>
    <mergeCell ref="R53:R57"/>
    <mergeCell ref="R58:R62"/>
    <mergeCell ref="R63:R66"/>
    <mergeCell ref="R67:R71"/>
    <mergeCell ref="V100:V104"/>
    <mergeCell ref="V105:V109"/>
    <mergeCell ref="V110:V115"/>
    <mergeCell ref="V30:V33"/>
    <mergeCell ref="W58:W62"/>
    <mergeCell ref="W63:W66"/>
    <mergeCell ref="R72:R77"/>
    <mergeCell ref="R78:R83"/>
    <mergeCell ref="R85:R89"/>
    <mergeCell ref="R90:R94"/>
    <mergeCell ref="R95:R99"/>
    <mergeCell ref="R100:R104"/>
    <mergeCell ref="R105:R109"/>
    <mergeCell ref="W105:W109"/>
    <mergeCell ref="V90:V94"/>
    <mergeCell ref="W90:W94"/>
    <mergeCell ref="V95:V99"/>
    <mergeCell ref="W95:W99"/>
    <mergeCell ref="W100:W104"/>
    <mergeCell ref="V53:V57"/>
    <mergeCell ref="V26:V29"/>
    <mergeCell ref="W26:W29"/>
    <mergeCell ref="V38:V42"/>
    <mergeCell ref="W38:W42"/>
    <mergeCell ref="V43:V47"/>
    <mergeCell ref="W43:W47"/>
    <mergeCell ref="V48:V52"/>
    <mergeCell ref="W48:W52"/>
    <mergeCell ref="W30:W33"/>
    <mergeCell ref="V85:V89"/>
    <mergeCell ref="W85:W89"/>
    <mergeCell ref="W53:W57"/>
    <mergeCell ref="V58:V62"/>
    <mergeCell ref="V63:V66"/>
    <mergeCell ref="V67:V71"/>
    <mergeCell ref="W67:W71"/>
    <mergeCell ref="V72:V77"/>
    <mergeCell ref="W72:W77"/>
    <mergeCell ref="V78:V83"/>
    <mergeCell ref="W78:W83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maya varghese</cp:lastModifiedBy>
  <cp:lastPrinted>2026-01-07T09:48:23Z</cp:lastPrinted>
  <dcterms:created xsi:type="dcterms:W3CDTF">2023-05-25T09:23:32Z</dcterms:created>
  <dcterms:modified xsi:type="dcterms:W3CDTF">2026-01-20T09:43:56Z</dcterms:modified>
</cp:coreProperties>
</file>